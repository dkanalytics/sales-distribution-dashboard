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C:\Users\danyk\Downloads\"/>
    </mc:Choice>
  </mc:AlternateContent>
  <xr:revisionPtr revIDLastSave="0" documentId="13_ncr:1_{1AB14977-988F-494A-8D97-46073CA5D7F1}" xr6:coauthVersionLast="47" xr6:coauthVersionMax="47" xr10:uidLastSave="{00000000-0000-0000-0000-000000000000}"/>
  <bookViews>
    <workbookView xWindow="-108" yWindow="-108" windowWidth="23256" windowHeight="12456" xr2:uid="{0A0D8D68-EFC2-4074-BDCA-85DAF874A3F1}"/>
  </bookViews>
  <sheets>
    <sheet name="Dashboard" sheetId="10" r:id="rId1"/>
    <sheet name="Key Insights" sheetId="11" r:id="rId2"/>
    <sheet name="Pivots" sheetId="9" r:id="rId3"/>
    <sheet name="Input Data" sheetId="2" r:id="rId4"/>
    <sheet name="Target Analysis" sheetId="8" r:id="rId5"/>
    <sheet name="Sheet1" sheetId="12" r:id="rId6"/>
    <sheet name="Customer" sheetId="6" r:id="rId7"/>
  </sheets>
  <definedNames>
    <definedName name="_xlnm._FilterDatabase" localSheetId="6" hidden="1">Customer!$A$1:$B$41</definedName>
    <definedName name="_xlchart.v2.0" hidden="1">Pivots!$V$24:$V$38</definedName>
    <definedName name="_xlchart.v2.1" hidden="1">Pivots!$W$23</definedName>
    <definedName name="_xlchart.v2.2" hidden="1">Pivots!$W$24:$W$38</definedName>
    <definedName name="_xlcn.WorksheetConnection_Sheet1B2C181" hidden="1">Customer!$E$2:$F$16</definedName>
    <definedName name="Slicer_Month">#N/A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2:$C$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8" l="1"/>
  <c r="F15" i="8" s="1"/>
  <c r="D16" i="8"/>
  <c r="F837"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6" i="2"/>
  <c r="H15" i="2"/>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2" i="6"/>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6" i="2"/>
  <c r="AL10" i="9"/>
  <c r="BJ30" i="10" s="1"/>
  <c r="BJ22" i="10"/>
  <c r="AI5" i="9"/>
  <c r="BJ17" i="10" s="1"/>
  <c r="AB13" i="9"/>
  <c r="BK13" i="10" s="1"/>
  <c r="AB12" i="9"/>
  <c r="BK12" i="10" s="1"/>
  <c r="AB11" i="9"/>
  <c r="BK11" i="10" s="1"/>
  <c r="AA12" i="9"/>
  <c r="BJ12" i="10" s="1"/>
  <c r="AA13" i="9"/>
  <c r="BJ13" i="10" s="1"/>
  <c r="AA11" i="9"/>
  <c r="BJ11" i="10" s="1"/>
  <c r="W24" i="9" a="1"/>
  <c r="W24" i="9" s="1"/>
  <c r="V25" i="9"/>
  <c r="V26" i="9"/>
  <c r="V27" i="9"/>
  <c r="V28" i="9"/>
  <c r="V29" i="9"/>
  <c r="V30" i="9"/>
  <c r="V31" i="9"/>
  <c r="V32" i="9"/>
  <c r="V33" i="9"/>
  <c r="V34" i="9"/>
  <c r="V35" i="9"/>
  <c r="V36" i="9"/>
  <c r="V37" i="9"/>
  <c r="V38" i="9"/>
  <c r="V24" i="9"/>
  <c r="E5" i="8"/>
  <c r="G5" i="8" s="1"/>
  <c r="E6" i="8"/>
  <c r="G6" i="8" s="1"/>
  <c r="E7" i="8"/>
  <c r="G7" i="8" s="1"/>
  <c r="E8" i="8"/>
  <c r="F8" i="8" s="1"/>
  <c r="E9" i="8"/>
  <c r="F9" i="8" s="1"/>
  <c r="E10" i="8"/>
  <c r="F10" i="8" s="1"/>
  <c r="E11" i="8"/>
  <c r="G11" i="8" s="1"/>
  <c r="E12" i="8"/>
  <c r="F12" i="8" s="1"/>
  <c r="E13" i="8"/>
  <c r="F13" i="8" s="1"/>
  <c r="E14" i="8"/>
  <c r="G14" i="8" s="1"/>
  <c r="E4" i="8"/>
  <c r="G4" i="8" s="1"/>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5" i="2"/>
  <c r="D837" i="2"/>
  <c r="E837"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5" i="2"/>
  <c r="H14" i="2"/>
  <c r="H19" i="2"/>
  <c r="H21" i="2"/>
  <c r="H24" i="2"/>
  <c r="H26" i="2"/>
  <c r="H28" i="2"/>
  <c r="H31" i="2"/>
  <c r="H33" i="2"/>
  <c r="H36" i="2"/>
  <c r="H38" i="2"/>
  <c r="H40" i="2"/>
  <c r="H43" i="2"/>
  <c r="H45" i="2"/>
  <c r="H48" i="2"/>
  <c r="H50" i="2"/>
  <c r="H52" i="2"/>
  <c r="H55" i="2"/>
  <c r="H57" i="2"/>
  <c r="H60" i="2"/>
  <c r="H62" i="2"/>
  <c r="H64" i="2"/>
  <c r="H67" i="2"/>
  <c r="H69" i="2"/>
  <c r="H72" i="2"/>
  <c r="H74" i="2"/>
  <c r="H76" i="2"/>
  <c r="H79" i="2"/>
  <c r="H81" i="2"/>
  <c r="H84" i="2"/>
  <c r="H86" i="2"/>
  <c r="H88" i="2"/>
  <c r="H91" i="2"/>
  <c r="H93" i="2"/>
  <c r="H96" i="2"/>
  <c r="H98" i="2"/>
  <c r="H100" i="2"/>
  <c r="H103" i="2"/>
  <c r="H105" i="2"/>
  <c r="H108" i="2"/>
  <c r="H110" i="2"/>
  <c r="H112" i="2"/>
  <c r="H115" i="2"/>
  <c r="H117" i="2"/>
  <c r="H120" i="2"/>
  <c r="H121" i="2"/>
  <c r="H122" i="2"/>
  <c r="H124" i="2"/>
  <c r="H127" i="2"/>
  <c r="H129" i="2"/>
  <c r="H132" i="2"/>
  <c r="H133" i="2"/>
  <c r="H134" i="2"/>
  <c r="H136" i="2"/>
  <c r="H139" i="2"/>
  <c r="H141" i="2"/>
  <c r="H144" i="2"/>
  <c r="H145" i="2"/>
  <c r="H146" i="2"/>
  <c r="H148" i="2"/>
  <c r="H151" i="2"/>
  <c r="H153" i="2"/>
  <c r="H156" i="2"/>
  <c r="H157" i="2"/>
  <c r="H158" i="2"/>
  <c r="H160" i="2"/>
  <c r="H163" i="2"/>
  <c r="H165" i="2"/>
  <c r="H168" i="2"/>
  <c r="H169" i="2"/>
  <c r="H170" i="2"/>
  <c r="H172" i="2"/>
  <c r="H175" i="2"/>
  <c r="H177" i="2"/>
  <c r="H180" i="2"/>
  <c r="H181" i="2"/>
  <c r="H182" i="2"/>
  <c r="H184" i="2"/>
  <c r="H187" i="2"/>
  <c r="H189" i="2"/>
  <c r="H192" i="2"/>
  <c r="H193" i="2"/>
  <c r="H194" i="2"/>
  <c r="H196" i="2"/>
  <c r="H199" i="2"/>
  <c r="H201" i="2"/>
  <c r="H204" i="2"/>
  <c r="H205" i="2"/>
  <c r="H206" i="2"/>
  <c r="H208" i="2"/>
  <c r="H211" i="2"/>
  <c r="H213" i="2"/>
  <c r="H216" i="2"/>
  <c r="H217" i="2"/>
  <c r="H218" i="2"/>
  <c r="H220" i="2"/>
  <c r="H223" i="2"/>
  <c r="H225" i="2"/>
  <c r="H228" i="2"/>
  <c r="H229" i="2"/>
  <c r="H230" i="2"/>
  <c r="H232" i="2"/>
  <c r="H235" i="2"/>
  <c r="H237" i="2"/>
  <c r="H240" i="2"/>
  <c r="H241" i="2"/>
  <c r="H242" i="2"/>
  <c r="H244" i="2"/>
  <c r="H247" i="2"/>
  <c r="H249" i="2"/>
  <c r="H252" i="2"/>
  <c r="H253" i="2"/>
  <c r="H254" i="2"/>
  <c r="H256" i="2"/>
  <c r="H259" i="2"/>
  <c r="H261" i="2"/>
  <c r="H264" i="2"/>
  <c r="H265" i="2"/>
  <c r="H266" i="2"/>
  <c r="H268" i="2"/>
  <c r="H271" i="2"/>
  <c r="H273" i="2"/>
  <c r="H276" i="2"/>
  <c r="H277" i="2"/>
  <c r="H278" i="2"/>
  <c r="H280" i="2"/>
  <c r="H283" i="2"/>
  <c r="H285" i="2"/>
  <c r="H288" i="2"/>
  <c r="H289" i="2"/>
  <c r="H290" i="2"/>
  <c r="H292" i="2"/>
  <c r="H295" i="2"/>
  <c r="H297" i="2"/>
  <c r="H300" i="2"/>
  <c r="H301" i="2"/>
  <c r="H302" i="2"/>
  <c r="H304" i="2"/>
  <c r="H307" i="2"/>
  <c r="H309" i="2"/>
  <c r="H312" i="2"/>
  <c r="H313" i="2"/>
  <c r="H314" i="2"/>
  <c r="H316" i="2"/>
  <c r="H319" i="2"/>
  <c r="H321" i="2"/>
  <c r="H324" i="2"/>
  <c r="H325" i="2"/>
  <c r="H326" i="2"/>
  <c r="H328" i="2"/>
  <c r="H331" i="2"/>
  <c r="H333" i="2"/>
  <c r="H336" i="2"/>
  <c r="H337" i="2"/>
  <c r="H338" i="2"/>
  <c r="H340" i="2"/>
  <c r="H343" i="2"/>
  <c r="H345" i="2"/>
  <c r="H348" i="2"/>
  <c r="H349" i="2"/>
  <c r="H350" i="2"/>
  <c r="H352" i="2"/>
  <c r="H355" i="2"/>
  <c r="H357" i="2"/>
  <c r="H360" i="2"/>
  <c r="H361" i="2"/>
  <c r="H362" i="2"/>
  <c r="H364" i="2"/>
  <c r="H367" i="2"/>
  <c r="H369" i="2"/>
  <c r="H372" i="2"/>
  <c r="H373" i="2"/>
  <c r="H374" i="2"/>
  <c r="H376" i="2"/>
  <c r="H379" i="2"/>
  <c r="H381" i="2"/>
  <c r="H384" i="2"/>
  <c r="H385" i="2"/>
  <c r="H386" i="2"/>
  <c r="H388" i="2"/>
  <c r="H391" i="2"/>
  <c r="H393"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5" i="2"/>
  <c r="A8" i="9"/>
  <c r="AL6" i="9"/>
  <c r="H4" i="8" l="1"/>
  <c r="H15" i="8"/>
  <c r="H14" i="8"/>
  <c r="H13" i="8"/>
  <c r="H12" i="8"/>
  <c r="H11" i="8"/>
  <c r="H9" i="8"/>
  <c r="H8" i="8"/>
  <c r="H7" i="8"/>
  <c r="H10" i="8"/>
  <c r="H6" i="8"/>
  <c r="H5" i="8"/>
  <c r="F4" i="8"/>
  <c r="F14" i="8"/>
  <c r="F11" i="8"/>
  <c r="F7" i="8"/>
  <c r="F6" i="8"/>
  <c r="F5" i="8"/>
  <c r="G15" i="8"/>
  <c r="E16" i="8"/>
  <c r="BY13" i="10"/>
  <c r="H109" i="2"/>
  <c r="H97" i="2"/>
  <c r="H85" i="2"/>
  <c r="H73" i="2"/>
  <c r="H61" i="2"/>
  <c r="H49" i="2"/>
  <c r="H37" i="2"/>
  <c r="H25" i="2"/>
  <c r="H13" i="2"/>
  <c r="H12" i="2"/>
  <c r="H395" i="2"/>
  <c r="H383" i="2"/>
  <c r="H371" i="2"/>
  <c r="H359" i="2"/>
  <c r="H347" i="2"/>
  <c r="H335" i="2"/>
  <c r="H323" i="2"/>
  <c r="H311" i="2"/>
  <c r="H299" i="2"/>
  <c r="H287" i="2"/>
  <c r="H275" i="2"/>
  <c r="H263" i="2"/>
  <c r="H251" i="2"/>
  <c r="H239" i="2"/>
  <c r="H227" i="2"/>
  <c r="H215" i="2"/>
  <c r="H203" i="2"/>
  <c r="H191" i="2"/>
  <c r="H179" i="2"/>
  <c r="H167" i="2"/>
  <c r="H155" i="2"/>
  <c r="H143" i="2"/>
  <c r="H131" i="2"/>
  <c r="H119" i="2"/>
  <c r="H107" i="2"/>
  <c r="H95" i="2"/>
  <c r="H83" i="2"/>
  <c r="H71" i="2"/>
  <c r="H59" i="2"/>
  <c r="H47" i="2"/>
  <c r="H35" i="2"/>
  <c r="H23" i="2"/>
  <c r="H11" i="2"/>
  <c r="H394" i="2"/>
  <c r="H382" i="2"/>
  <c r="H370" i="2"/>
  <c r="H358" i="2"/>
  <c r="H346" i="2"/>
  <c r="H334" i="2"/>
  <c r="H322" i="2"/>
  <c r="H310" i="2"/>
  <c r="H298" i="2"/>
  <c r="H286" i="2"/>
  <c r="H274" i="2"/>
  <c r="H262" i="2"/>
  <c r="H250" i="2"/>
  <c r="H238" i="2"/>
  <c r="H226" i="2"/>
  <c r="H214" i="2"/>
  <c r="H202" i="2"/>
  <c r="H190" i="2"/>
  <c r="H178" i="2"/>
  <c r="H166" i="2"/>
  <c r="H154" i="2"/>
  <c r="H142" i="2"/>
  <c r="H130" i="2"/>
  <c r="H118" i="2"/>
  <c r="H106" i="2"/>
  <c r="H94" i="2"/>
  <c r="H82" i="2"/>
  <c r="H70" i="2"/>
  <c r="H58" i="2"/>
  <c r="H46" i="2"/>
  <c r="H34" i="2"/>
  <c r="H22" i="2"/>
  <c r="H10" i="2"/>
  <c r="H9" i="2"/>
  <c r="H392" i="2"/>
  <c r="H380" i="2"/>
  <c r="H368" i="2"/>
  <c r="H356" i="2"/>
  <c r="H344" i="2"/>
  <c r="H332" i="2"/>
  <c r="H320" i="2"/>
  <c r="H308" i="2"/>
  <c r="H296" i="2"/>
  <c r="H284" i="2"/>
  <c r="H272" i="2"/>
  <c r="H260" i="2"/>
  <c r="H248" i="2"/>
  <c r="H236" i="2"/>
  <c r="H224" i="2"/>
  <c r="H212" i="2"/>
  <c r="H200" i="2"/>
  <c r="H188" i="2"/>
  <c r="H176" i="2"/>
  <c r="H164" i="2"/>
  <c r="H152" i="2"/>
  <c r="H140" i="2"/>
  <c r="H128" i="2"/>
  <c r="H116" i="2"/>
  <c r="H104" i="2"/>
  <c r="H92" i="2"/>
  <c r="H80" i="2"/>
  <c r="H68" i="2"/>
  <c r="H56" i="2"/>
  <c r="H44" i="2"/>
  <c r="H32" i="2"/>
  <c r="H20" i="2"/>
  <c r="H8" i="2"/>
  <c r="H7" i="2"/>
  <c r="H390" i="2"/>
  <c r="H378" i="2"/>
  <c r="H366" i="2"/>
  <c r="H354" i="2"/>
  <c r="H342" i="2"/>
  <c r="H330" i="2"/>
  <c r="H318" i="2"/>
  <c r="H306" i="2"/>
  <c r="H294" i="2"/>
  <c r="H282" i="2"/>
  <c r="H270" i="2"/>
  <c r="H258" i="2"/>
  <c r="H246" i="2"/>
  <c r="H234" i="2"/>
  <c r="H222" i="2"/>
  <c r="H210" i="2"/>
  <c r="H198" i="2"/>
  <c r="H186" i="2"/>
  <c r="H174" i="2"/>
  <c r="H162" i="2"/>
  <c r="H150" i="2"/>
  <c r="H138" i="2"/>
  <c r="H126" i="2"/>
  <c r="H114" i="2"/>
  <c r="H102" i="2"/>
  <c r="H90" i="2"/>
  <c r="H78" i="2"/>
  <c r="H66" i="2"/>
  <c r="H54" i="2"/>
  <c r="H42" i="2"/>
  <c r="H30" i="2"/>
  <c r="H18" i="2"/>
  <c r="H6" i="2"/>
  <c r="H389" i="2"/>
  <c r="H377" i="2"/>
  <c r="H365" i="2"/>
  <c r="H353" i="2"/>
  <c r="H341" i="2"/>
  <c r="H329" i="2"/>
  <c r="H317" i="2"/>
  <c r="H305" i="2"/>
  <c r="H293" i="2"/>
  <c r="H281" i="2"/>
  <c r="H269" i="2"/>
  <c r="H257" i="2"/>
  <c r="H245" i="2"/>
  <c r="H233" i="2"/>
  <c r="H221" i="2"/>
  <c r="H209" i="2"/>
  <c r="H197" i="2"/>
  <c r="H185" i="2"/>
  <c r="H173" i="2"/>
  <c r="H161" i="2"/>
  <c r="H149" i="2"/>
  <c r="H137" i="2"/>
  <c r="H125" i="2"/>
  <c r="H113" i="2"/>
  <c r="H101" i="2"/>
  <c r="H89" i="2"/>
  <c r="H77" i="2"/>
  <c r="H65" i="2"/>
  <c r="H53" i="2"/>
  <c r="H41" i="2"/>
  <c r="H29" i="2"/>
  <c r="H17" i="2"/>
  <c r="H16" i="2"/>
  <c r="H387" i="2"/>
  <c r="H375" i="2"/>
  <c r="H363" i="2"/>
  <c r="H351" i="2"/>
  <c r="H339" i="2"/>
  <c r="H327" i="2"/>
  <c r="H315" i="2"/>
  <c r="H303" i="2"/>
  <c r="H291" i="2"/>
  <c r="H279" i="2"/>
  <c r="H267" i="2"/>
  <c r="H255" i="2"/>
  <c r="H243" i="2"/>
  <c r="H231" i="2"/>
  <c r="H219" i="2"/>
  <c r="H207" i="2"/>
  <c r="H195" i="2"/>
  <c r="H183" i="2"/>
  <c r="H171" i="2"/>
  <c r="H159" i="2"/>
  <c r="H147" i="2"/>
  <c r="H135" i="2"/>
  <c r="H123" i="2"/>
  <c r="H111" i="2"/>
  <c r="H99" i="2"/>
  <c r="H87" i="2"/>
  <c r="H75" i="2"/>
  <c r="H63" i="2"/>
  <c r="H51" i="2"/>
  <c r="H39" i="2"/>
  <c r="H27" i="2"/>
  <c r="BJ24" i="10"/>
  <c r="G13" i="8"/>
  <c r="G12" i="8"/>
  <c r="G10" i="8"/>
  <c r="G9" i="8"/>
  <c r="G8" i="8"/>
  <c r="K837" i="2"/>
  <c r="H16" i="8" l="1"/>
  <c r="K5" i="8"/>
  <c r="K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AFD66-0066-4848-9CC0-BC2177EF5DC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CE8BAC-A8F5-42A3-BEE8-8A261CA7083B}" name="WorksheetConnection_Sheet1!$B$2:$C$18" type="102" refreshedVersion="7" minRefreshableVersion="5">
    <extLst>
      <ext xmlns:x15="http://schemas.microsoft.com/office/spreadsheetml/2010/11/main" uri="{DE250136-89BD-433C-8126-D09CA5730AF9}">
        <x15:connection id="Range">
          <x15:rangePr sourceName="_xlcn.WorksheetConnection_Sheet1B2C18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<sst xmlns="http://schemas.openxmlformats.org/spreadsheetml/2006/main" count="3998" uniqueCount="305">
  <si>
    <t>PRODUCT</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</si>
  <si>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</si>
  <si>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</si>
  <si>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</si>
  <si>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</si>
  <si>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</si>
  <si>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</si>
  <si>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</si>
  <si>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</si>
  <si>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</si>
  <si>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</si>
  <si>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</si>
  <si>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</si>
  <si>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</si>
  <si>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</si>
  <si>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</si>
  <si>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</si>
  <si>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</si>
  <si>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</si>
  <si>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</si>
  <si>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</si>
  <si>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</si>
  <si>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</si>
  <si>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</si>
  <si>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</si>
  <si>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</si>
  <si>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</si>
  <si>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</si>
  <si>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</si>
  <si>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</si>
  <si>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</si>
  <si>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</si>
  <si>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</si>
  <si>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</si>
  <si>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</si>
  <si>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</si>
  <si>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</si>
  <si>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</si>
  <si>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</si>
  <si>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</si>
  <si>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</si>
  <si>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</si>
  <si>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</si>
  <si>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</si>
  <si>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</si>
  <si>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DATE</t>
  </si>
  <si>
    <t>QUANTITY</t>
  </si>
  <si>
    <t>May</t>
  </si>
  <si>
    <t>Customer01</t>
  </si>
  <si>
    <t>Customer02</t>
  </si>
  <si>
    <t>Customer03</t>
  </si>
  <si>
    <t>Customer04</t>
  </si>
  <si>
    <t>Customer05</t>
  </si>
  <si>
    <t>Customer06</t>
  </si>
  <si>
    <t>Customer07</t>
  </si>
  <si>
    <t>Customer08</t>
  </si>
  <si>
    <t>Customer09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</si>
  <si>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</si>
  <si>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</si>
  <si>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</si>
  <si>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</si>
  <si>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</si>
  <si>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</si>
  <si>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</si>
  <si>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</si>
  <si>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</si>
  <si>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</si>
  <si>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</si>
  <si>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</si>
  <si>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</si>
  <si>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</si>
  <si>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</si>
  <si>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</si>
  <si>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</si>
  <si>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</si>
  <si>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</si>
  <si>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</si>
  <si>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</si>
  <si>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Bangladesh</t>
  </si>
  <si>
    <t>Brazil</t>
  </si>
  <si>
    <t>Ethiopia</t>
  </si>
  <si>
    <t>France</t>
  </si>
  <si>
    <t>Germany</t>
  </si>
  <si>
    <t>India</t>
  </si>
  <si>
    <t>Indonesia</t>
  </si>
  <si>
    <t>Mexico</t>
  </si>
  <si>
    <t>Nigeria</t>
  </si>
  <si>
    <t>Pakistan</t>
  </si>
  <si>
    <t>Russia</t>
  </si>
  <si>
    <t>Saudi Arabia</t>
  </si>
  <si>
    <t>South Africa</t>
  </si>
  <si>
    <t>United Kingdom</t>
  </si>
  <si>
    <t>United States of America</t>
  </si>
  <si>
    <t>Country</t>
  </si>
  <si>
    <t>Customer Name</t>
  </si>
  <si>
    <t>Customer31</t>
  </si>
  <si>
    <t>Customer32</t>
  </si>
  <si>
    <t>Customer33</t>
  </si>
  <si>
    <t>Customer34</t>
  </si>
  <si>
    <t>Customer35</t>
  </si>
  <si>
    <t>Customer36</t>
  </si>
  <si>
    <t>Customer37</t>
  </si>
  <si>
    <t>Customer38</t>
  </si>
  <si>
    <t>Customer39</t>
  </si>
  <si>
    <t>Customer40</t>
  </si>
  <si>
    <t>Month Name</t>
  </si>
  <si>
    <t>Month</t>
  </si>
  <si>
    <t>Region</t>
  </si>
  <si>
    <t>Central</t>
  </si>
  <si>
    <t>East</t>
  </si>
  <si>
    <t>North</t>
  </si>
  <si>
    <t>Northeast</t>
  </si>
  <si>
    <t>South</t>
  </si>
  <si>
    <t>Western</t>
  </si>
  <si>
    <t>Export</t>
  </si>
  <si>
    <t>CUSTOMER NAME</t>
  </si>
  <si>
    <t>UNIT PRICE (R)</t>
  </si>
  <si>
    <t>Actual SALE</t>
  </si>
  <si>
    <t>Week</t>
  </si>
  <si>
    <t>Day</t>
  </si>
  <si>
    <t>DATA TABLE</t>
  </si>
  <si>
    <t>Sum of Actual SALE</t>
  </si>
  <si>
    <t>Row Labels</t>
  </si>
  <si>
    <t>January</t>
  </si>
  <si>
    <t>February</t>
  </si>
  <si>
    <t>March</t>
  </si>
  <si>
    <t>April</t>
  </si>
  <si>
    <t>June</t>
  </si>
  <si>
    <t>July</t>
  </si>
  <si>
    <t>August</t>
  </si>
  <si>
    <t>September</t>
  </si>
  <si>
    <t>October</t>
  </si>
  <si>
    <t>November</t>
  </si>
  <si>
    <t>December</t>
  </si>
  <si>
    <t>Grand Total</t>
  </si>
  <si>
    <t>Total</t>
  </si>
  <si>
    <t>Actual</t>
  </si>
  <si>
    <t>Below Target</t>
  </si>
  <si>
    <t>Above Target</t>
  </si>
  <si>
    <t>Count of Actual SALE</t>
  </si>
  <si>
    <t>Amount</t>
  </si>
  <si>
    <t>Average sales Value</t>
  </si>
  <si>
    <t>Number of orders</t>
  </si>
  <si>
    <t>Thornwell Trading</t>
  </si>
  <si>
    <t>Baxter &amp; Kline Supplies</t>
  </si>
  <si>
    <t>Meridian Hardware Co.</t>
  </si>
  <si>
    <t>Coastal Fittings Ltd</t>
  </si>
  <si>
    <t>Harrow Distribution</t>
  </si>
  <si>
    <t>Vantage Point Retailers</t>
  </si>
  <si>
    <t>Kestrel Logistics</t>
  </si>
  <si>
    <t>Silverline Wholesalers</t>
  </si>
  <si>
    <t>Northgate Industries</t>
  </si>
  <si>
    <t>Ashcombe Traders</t>
  </si>
  <si>
    <t>Redwood Mercantile</t>
  </si>
  <si>
    <t>Bellview Enterprises</t>
  </si>
  <si>
    <t>Union Cross Supply Co.</t>
  </si>
  <si>
    <t>Fairstone Retail Group</t>
  </si>
  <si>
    <t>Marchbank Traders</t>
  </si>
  <si>
    <t>Ovenden &amp; Sons</t>
  </si>
  <si>
    <t>Ridgeway Commercial</t>
  </si>
  <si>
    <t>Talbot Street Merchants</t>
  </si>
  <si>
    <t>Whitfield Distributors</t>
  </si>
  <si>
    <t>Ironbridge Trading Co.</t>
  </si>
  <si>
    <t>Delacroix Wholesale</t>
  </si>
  <si>
    <t>Southcote Industries</t>
  </si>
  <si>
    <t>Larkspur Retailers</t>
  </si>
  <si>
    <t>Blackfriars Supply</t>
  </si>
  <si>
    <t>Hendricks Mercantile</t>
  </si>
  <si>
    <t>Ashworth Trading Group</t>
  </si>
  <si>
    <t>Millbrook Distribution</t>
  </si>
  <si>
    <t>Cranfield &amp; Co.</t>
  </si>
  <si>
    <t>Overton Retail Solutions</t>
  </si>
  <si>
    <t>Fenwick Traders</t>
  </si>
  <si>
    <t>Cobalt Point Supplies</t>
  </si>
  <si>
    <t>Draycott Wholesalers</t>
  </si>
  <si>
    <t>Stonebridge Commercial</t>
  </si>
  <si>
    <t>Alderman Retail Group</t>
  </si>
  <si>
    <t>Northfield Traders</t>
  </si>
  <si>
    <t>Pemberton &amp; Associates</t>
  </si>
  <si>
    <t>Hollowell Supply Co.</t>
  </si>
  <si>
    <t>Kingsmead Distribution</t>
  </si>
  <si>
    <t>Vesterly Traders</t>
  </si>
  <si>
    <t>Radcliffe Mercantile</t>
  </si>
  <si>
    <t>Bramwell Industries</t>
  </si>
  <si>
    <t>Castlerock Supply</t>
  </si>
  <si>
    <t>Ellsworth Traders</t>
  </si>
  <si>
    <t>Greybourne Retailers</t>
  </si>
  <si>
    <t>Hawkridge Distribution</t>
  </si>
  <si>
    <t>Underwood &amp; Kline</t>
  </si>
  <si>
    <t>Faircross Trading Co.</t>
  </si>
  <si>
    <t>Marlowe Commercial Group</t>
  </si>
  <si>
    <t>Denholm Supply Co.</t>
  </si>
  <si>
    <t>Rushbrook Traders</t>
  </si>
  <si>
    <t>Calderwood Enterprises</t>
  </si>
  <si>
    <t>Wexford Distribution</t>
  </si>
  <si>
    <t>Ashgrove Mercantile</t>
  </si>
  <si>
    <t>Trentham Retail Co.</t>
  </si>
  <si>
    <t>Blackthorn Traders</t>
  </si>
  <si>
    <t>Overbridge Supply</t>
  </si>
  <si>
    <t>Fairlane Distributors</t>
  </si>
  <si>
    <t>Coombeswood Trading</t>
  </si>
  <si>
    <t>Merrifield &amp; Co.</t>
  </si>
  <si>
    <t>Ravensworth Commercial</t>
  </si>
  <si>
    <t>Real Name</t>
  </si>
  <si>
    <t>Customer41</t>
  </si>
  <si>
    <t>Customer42</t>
  </si>
  <si>
    <t>Customer43</t>
  </si>
  <si>
    <t>Customer44</t>
  </si>
  <si>
    <t>Customer45</t>
  </si>
  <si>
    <t>Customer46</t>
  </si>
  <si>
    <t>Customer47</t>
  </si>
  <si>
    <t>Customer48</t>
  </si>
  <si>
    <t>Customer49</t>
  </si>
  <si>
    <t>Customer50</t>
  </si>
  <si>
    <t>Customer51</t>
  </si>
  <si>
    <t>Customer52</t>
  </si>
  <si>
    <t>Customer53</t>
  </si>
  <si>
    <t>Customer54</t>
  </si>
  <si>
    <t>Customer55</t>
  </si>
  <si>
    <t>Customer56</t>
  </si>
  <si>
    <t>Customer57</t>
  </si>
  <si>
    <t>Customer58</t>
  </si>
  <si>
    <t>Customer59</t>
  </si>
  <si>
    <t>Customer60</t>
  </si>
  <si>
    <t>Real name</t>
  </si>
  <si>
    <t>Brackenfield Hardware &amp; Supply Co.</t>
  </si>
  <si>
    <t>PRODUCT NAME</t>
  </si>
  <si>
    <t>Customer name Mapping Table</t>
  </si>
  <si>
    <t>Product name Mapping Table</t>
  </si>
  <si>
    <t>Hex Bolt M8</t>
  </si>
  <si>
    <t>Hex Bolt M10</t>
  </si>
  <si>
    <t>Hex Bolt M12</t>
  </si>
  <si>
    <t>Carriage Bolt M8</t>
  </si>
  <si>
    <t>Wing Nut M6</t>
  </si>
  <si>
    <t>Flange Nut M10</t>
  </si>
  <si>
    <t>Lock Washer M8</t>
  </si>
  <si>
    <t>Flat Washer M10</t>
  </si>
  <si>
    <t>Threaded Rod M12</t>
  </si>
  <si>
    <t>Self-Tapping Screw 25mm</t>
  </si>
  <si>
    <t>Wood Screw 40mm</t>
  </si>
  <si>
    <t>Drywall Screw 30mm</t>
  </si>
  <si>
    <t>Machine Screw M4</t>
  </si>
  <si>
    <t>Cap Screw M6</t>
  </si>
  <si>
    <t>Rivet 4mm</t>
  </si>
  <si>
    <t>Blind Rivet 6mm</t>
  </si>
  <si>
    <t>Cotter Pin 3mm</t>
  </si>
  <si>
    <t>Split Pin 5mm</t>
  </si>
  <si>
    <t>Anchor Bolt M10</t>
  </si>
  <si>
    <t>Toggle Bolt M6</t>
  </si>
  <si>
    <t>Pipe Clamp 25mm</t>
  </si>
  <si>
    <t>Hose Clamp 32mm</t>
  </si>
  <si>
    <t>U-Bolt M8</t>
  </si>
  <si>
    <t>Eye Bolt M10</t>
  </si>
  <si>
    <t>Turnbuckle M8</t>
  </si>
  <si>
    <t>Chain Link 6mm</t>
  </si>
  <si>
    <t>Padlock Hasp 100mm</t>
  </si>
  <si>
    <t>Cabinet Hinge 75mm</t>
  </si>
  <si>
    <t>Butt Hinge 100mm</t>
  </si>
  <si>
    <t>Door Latch Set</t>
  </si>
  <si>
    <t>Gate Bolt 150mm</t>
  </si>
  <si>
    <t>Corner Bracket 50mm</t>
  </si>
  <si>
    <t>Shelf Bracket 200mm</t>
  </si>
  <si>
    <t>L-Bracket 75mm</t>
  </si>
  <si>
    <t>T-Bracket 100mm</t>
  </si>
  <si>
    <t>Mending Plate 100mm</t>
  </si>
  <si>
    <t>Turnbuckle Hook M6</t>
  </si>
  <si>
    <t>Cable Tie 300mm</t>
  </si>
  <si>
    <t>Cable Clip 20mm</t>
  </si>
  <si>
    <t>Conduit Clamp 25mm</t>
  </si>
  <si>
    <t>PVC Elbow 20mm</t>
  </si>
  <si>
    <t>PVC Coupling 25mm</t>
  </si>
  <si>
    <t>Copper Pipe Fitting 15mm</t>
  </si>
  <si>
    <t>Brass Elbow Joint 20mm</t>
  </si>
  <si>
    <t>Key Insights</t>
  </si>
  <si>
    <t>Action Items</t>
  </si>
  <si>
    <t>Companies</t>
  </si>
  <si>
    <t>Number of Customers</t>
  </si>
  <si>
    <t>Analysis</t>
  </si>
  <si>
    <t>% Target Missed</t>
  </si>
  <si>
    <t>Shortfall</t>
  </si>
  <si>
    <t>Months with the highest Shortfall</t>
  </si>
  <si>
    <t>SUM OF SALES</t>
  </si>
  <si>
    <t>SALES BY MONTH</t>
  </si>
  <si>
    <t>SALES BY WEEK</t>
  </si>
  <si>
    <t>TOP 10 PRODUCTS</t>
  </si>
  <si>
    <t>SALES BY REGION</t>
  </si>
  <si>
    <t>SALES BY COUNTRY</t>
  </si>
  <si>
    <t>TOP 3 CUSTOMERS</t>
  </si>
  <si>
    <t>AMOUNT OF ORDERS PER CUSTOMER</t>
  </si>
  <si>
    <t>NUMBER OF CUSTOMERS</t>
  </si>
  <si>
    <r>
      <t xml:space="preserve">3. Export is carrying the business, as it accounts for 54% of the total revenue.
</t>
    </r>
    <r>
      <rPr>
        <sz val="11"/>
        <color theme="1"/>
        <rFont val="Calibri"/>
        <family val="2"/>
        <scheme val="minor"/>
      </rPr>
      <t xml:space="preserve">- Export brought in R531,576 which 54% of total revenue, more than every other region combined. </t>
    </r>
  </si>
  <si>
    <r>
      <t>5. The customer base is not dangerously concentrated, but worth watching.</t>
    </r>
    <r>
      <rPr>
        <sz val="11"/>
        <color theme="1"/>
        <rFont val="Calibri"/>
        <family val="2"/>
        <scheme val="minor"/>
      </rPr>
      <t xml:space="preserve"> 
- Brackenfield Hardware &amp; Supply Co. has 40 total customers, and the top 10 make up 41.6% of revenue. 
- Stonebridge Commercial alone accounts for 6.2%. </t>
    </r>
  </si>
  <si>
    <r>
      <t>6. Two products are doing a lot of the heavy lifting.</t>
    </r>
    <r>
      <rPr>
        <sz val="11"/>
        <color theme="1"/>
        <rFont val="Calibri"/>
        <family val="2"/>
        <scheme val="minor"/>
      </rPr>
      <t xml:space="preserve"> 
- Door Latch Set and PVC Elbow 20mm together brought in roughly R115,500, which is 11.7% of total sales.
- Door Latch Set and PVC Elbow 20mm  are well ahead of the rest of the top 10, which cluster much closer together, between R35K and R50K.</t>
    </r>
  </si>
  <si>
    <r>
      <t>7. Saturdays sell; Mondays do not.</t>
    </r>
    <r>
      <rPr>
        <sz val="11"/>
        <color theme="1"/>
        <rFont val="Calibri"/>
        <family val="2"/>
        <scheme val="minor"/>
      </rPr>
      <t xml:space="preserve"> 
- Saturday was the strongest day at R180,601, while Monday lagged at R114,849: a 57% gap between the two.</t>
    </r>
  </si>
  <si>
    <r>
      <t>2. Don't lean so heavily on one region and one country.</t>
    </r>
    <r>
      <rPr>
        <sz val="11"/>
        <color theme="1"/>
        <rFont val="Calibri"/>
        <family val="2"/>
        <scheme val="minor"/>
      </rPr>
      <t xml:space="preserve"> 
- Export and India each cover roughly half the revenue on their own, so any disruption there (including but not limited to shipping, tariffs, currency) would hit harder than it should. 
- Growing the North (4.6%) and South (5.4%) regions would help spread that risk out.</t>
    </r>
  </si>
  <si>
    <r>
      <t>1. Find out what actually happened between April and September.</t>
    </r>
    <r>
      <rPr>
        <sz val="11"/>
        <color theme="1"/>
        <rFont val="Calibri"/>
        <family val="2"/>
        <scheme val="minor"/>
      </rPr>
      <t xml:space="preserve"> 
- Three of those months missed target by more than 20%, and July's strong result right in the middle of that stretch suggests something specific changed that month, which is worth digging into rather than writing the whole period off as a slow season.</t>
    </r>
  </si>
  <si>
    <r>
      <t xml:space="preserve">1. The annual sales target was missed by 8.8%.
</t>
    </r>
    <r>
      <rPr>
        <sz val="11"/>
        <color theme="1"/>
        <rFont val="Calibri"/>
        <family val="2"/>
        <scheme val="minor"/>
      </rPr>
      <t>- Total sales wa</t>
    </r>
    <r>
      <rPr>
        <b/>
        <sz val="11"/>
        <color theme="1"/>
        <rFont val="Calibri"/>
        <family val="2"/>
        <scheme val="minor"/>
      </rPr>
      <t>s</t>
    </r>
    <r>
      <rPr>
        <sz val="11"/>
        <color theme="1"/>
        <rFont val="Calibri"/>
        <family val="2"/>
        <scheme val="minor"/>
      </rPr>
      <t xml:space="preserve"> R984,571, against a target of R1,080,000 which resulted in a shortfall of about R95,429. 
- Only four months actually hit their number: January, July, October, and December. The other eight fell short.</t>
    </r>
  </si>
  <si>
    <r>
      <t xml:space="preserve">4. Nearly half the revenue comes from one country.
</t>
    </r>
    <r>
      <rPr>
        <sz val="11"/>
        <color theme="1"/>
        <rFont val="Calibri"/>
        <family val="2"/>
        <scheme val="minor"/>
      </rPr>
      <t>- India accounted for R452,995, or 46% of total sales. 
- Pakistan is next at R77,523 which is less than a sixth of what India brought in.</t>
    </r>
  </si>
  <si>
    <r>
      <t>3. Look after the top 10 customers.</t>
    </r>
    <r>
      <rPr>
        <sz val="11"/>
        <color theme="1"/>
        <rFont val="Calibri"/>
        <family val="2"/>
        <scheme val="minor"/>
      </rPr>
      <t xml:space="preserve"> 
- The top 10 customers account for 41.6% of revenue, so losing even one would show up immediately in the numbers.
- A bit of proactive account management here goes a long way.</t>
    </r>
  </si>
  <si>
    <r>
      <t>4. Check in on the quieter customers.</t>
    </r>
    <r>
      <rPr>
        <sz val="11"/>
        <color theme="1"/>
        <rFont val="Calibri"/>
        <family val="2"/>
        <scheme val="minor"/>
      </rPr>
      <t xml:space="preserve"> 
- Alderman Retail Group placed just 6 orders all year, and Kingsmead Distribution only 7, which is low compared that to Stonebridge's 35 orders.
- Worth finding out whether they are new accounts, ones we are losing, or simply naturally low-volume orders.</t>
    </r>
  </si>
  <si>
    <r>
      <t xml:space="preserve">5. Even out the week.
</t>
    </r>
    <r>
      <rPr>
        <sz val="11"/>
        <color theme="1"/>
        <rFont val="Calibri"/>
        <family val="2"/>
        <scheme val="minor"/>
      </rPr>
      <t>- Monday and Tuesday are consistently our slowest days. 
- A promotion, a call cycle, or some kind of push on those specific days could help smooth out the swings showing up in the weekly sales chart.</t>
    </r>
  </si>
  <si>
    <r>
      <t>6. Take another look at how targets get set.</t>
    </r>
    <r>
      <rPr>
        <sz val="11"/>
        <color theme="1"/>
        <rFont val="Calibri"/>
        <family val="2"/>
        <scheme val="minor"/>
      </rPr>
      <t xml:space="preserve"> 
- February through April all carry a flat R100,000 target, and none of those months hit it. 
- Either the targets are too ambitious for that stretch of the year, or the way it is calculated needs a second look.</t>
    </r>
  </si>
  <si>
    <r>
      <t xml:space="preserve">2. The mid-year slump was not one continuous stretch; it had a gap in it.
</t>
    </r>
    <r>
      <rPr>
        <sz val="11"/>
        <color theme="1"/>
        <rFont val="Calibri"/>
        <family val="2"/>
        <scheme val="minor"/>
      </rPr>
      <t>- April, May, and June all came in well under target, and things dipped again in August and September.
- But July was actually a bright spot, clearing target by 3%.</t>
    </r>
  </si>
  <si>
    <t>Average Weekly Sales</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</si>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</sst>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 #,##0.00_ ;_ * \-#,##0.00_ ;_ * &quot;-&quot;??_ ;_ @_ "/>
    <numFmt numFmtId="165" formatCode="_-[$R-1C09]* #,##0.00_-;\-[$R-1C09]* #,##0.00_-;_-[$R-1C09]* &quot;-&quot;??_-;_-@_-"/>
    <numFmt numFmtId="166" formatCode="[$R-1C09]#,##0.00;\-[$R-1C09]#,##0.00"/>
  </numFmts>
  <fonts count="13" x14ac:knownFonts="1">
    <font>
      <sz val="11"/>
      <color theme="1"/>
      <name val="Calibri"/>
      <family val="2"/>
      <scheme val="minor"/>
    </font>
    <font>
      <sz val="11"/>
      <color theme="1"/>
      <name val="Calibri"/>
      <family val="2"/>
      <scheme val="minor"/>
    </font>
    <font>
      <sz val="8"/>
      <name val="Calibri"/>
      <family val="2"/>
      <scheme val="minor"/>
    </font>
    <font>
      <sz val="11"/>
      <color rgb="FF002060"/>
      <name val="Calibri"/>
      <family val="2"/>
      <scheme val="minor"/>
    </font>
    <font>
      <b/>
      <sz val="11"/>
      <color rgb="FF002060"/>
      <name val="Calibri"/>
      <family val="2"/>
      <scheme val="minor"/>
    </font>
    <font>
      <sz val="11"/>
      <name val="Calibri"/>
      <family val="2"/>
      <scheme val="minor"/>
    </font>
    <font>
      <sz val="11"/>
      <color theme="0"/>
      <name val="Calibri"/>
      <family val="2"/>
      <scheme val="minor"/>
    </font>
    <font>
      <b/>
      <sz val="14"/>
      <color rgb="FF002060"/>
      <name val="Calibri"/>
      <family val="2"/>
      <scheme val="minor"/>
    </font>
    <font>
      <b/>
      <sz val="12"/>
      <color theme="4" tint="-0.249977111117893"/>
      <name val="Calibri"/>
      <family val="2"/>
      <scheme val="minor"/>
    </font>
    <font>
      <b/>
      <sz val="11"/>
      <color theme="1"/>
      <name val="Calibri"/>
      <family val="2"/>
      <scheme val="minor"/>
    </font>
    <font>
      <b/>
      <sz val="13.5"/>
      <color theme="1"/>
      <name val="Calibri"/>
      <family val="2"/>
      <scheme val="minor"/>
    </font>
    <font>
      <sz val="11"/>
      <color rgb="FF000000"/>
      <name val="Calibri"/>
      <family val="2"/>
      <scheme val="minor"/>
    </font>
    <font>
      <b/>
      <sz val="18"/>
      <color theme="7"/>
      <name val="Calibri"/>
      <family val="2"/>
      <scheme val="minor"/>
    </font>
  </fonts>
  <fills count="8">
    <fill>
      <patternFill patternType="none"/>
    </fill>
    <fill>
      <patternFill patternType="gray125"/>
    </fill>
    <fill>
      <patternFill patternType="solid">
        <fgColor rgb="FFD1B2E8"/>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2" tint="-0.89999084444715716"/>
        <bgColor indexed="64"/>
      </patternFill>
    </fill>
    <fill>
      <patternFill patternType="solid">
        <fgColor theme="2" tint="-9.9978637043366805E-2"/>
        <bgColor indexed="64"/>
      </patternFill>
    </fill>
    <fill>
      <patternFill patternType="solid">
        <fgColor theme="8" tint="-0.499984740745262"/>
        <bgColor indexed="64"/>
      </patternFill>
    </fill>
  </fills>
  <borders count="20">
    <border>
      <left/>
      <right/>
      <top/>
      <bottom/>
      <diagonal/>
    </border>
    <border>
      <left/>
      <right/>
      <top/>
      <bottom style="medium">
        <color rgb="FF7030A0"/>
      </bottom>
      <diagonal/>
    </border>
    <border>
      <left/>
      <right/>
      <top style="medium">
        <color indexed="64"/>
      </top>
      <bottom/>
      <diagonal/>
    </border>
    <border>
      <left/>
      <right/>
      <top style="medium">
        <color indexed="64"/>
      </top>
      <bottom style="medium">
        <color rgb="FF7030A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rgb="FF7030A0"/>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74">
    <xf numFmtId="0" fontId="0" fillId="0" borderId="0" xfId="0"/>
    <xf numFmtId="0" fontId="3" fillId="0" borderId="0" xfId="0" applyFont="1"/>
    <xf numFmtId="0" fontId="4" fillId="2" borderId="1" xfId="0" applyFont="1" applyFill="1" applyBorder="1" applyAlignment="1">
      <alignment horizontal="center" vertical="center"/>
    </xf>
    <xf numFmtId="0" fontId="3" fillId="0" borderId="0" xfId="0" applyFont="1" applyAlignment="1">
      <alignment horizontal="center"/>
    </xf>
    <xf numFmtId="0" fontId="5" fillId="0" borderId="0" xfId="0" applyFont="1"/>
    <xf numFmtId="0" fontId="4" fillId="2" borderId="1" xfId="0" applyFont="1" applyFill="1" applyBorder="1" applyAlignment="1">
      <alignment horizontal="left" vertical="center"/>
    </xf>
    <xf numFmtId="0" fontId="3" fillId="0" borderId="0" xfId="0" applyFont="1" applyAlignment="1">
      <alignment horizontal="left"/>
    </xf>
    <xf numFmtId="165" fontId="0" fillId="0" borderId="0" xfId="0" applyNumberFormat="1"/>
    <xf numFmtId="0" fontId="0" fillId="0" borderId="0" xfId="0" pivotButton="1"/>
    <xf numFmtId="0" fontId="0" fillId="0" borderId="0" xfId="0" applyAlignment="1">
      <alignment horizontal="left"/>
    </xf>
    <xf numFmtId="14" fontId="3" fillId="0" borderId="0" xfId="0" applyNumberFormat="1" applyFont="1"/>
    <xf numFmtId="0" fontId="3" fillId="0" borderId="0" xfId="0" applyFont="1" applyAlignment="1">
      <alignment horizontal="center" vertical="center"/>
    </xf>
    <xf numFmtId="165" fontId="3" fillId="0" borderId="0" xfId="1" applyNumberFormat="1" applyFont="1" applyFill="1" applyBorder="1" applyAlignment="1">
      <alignment horizontal="left" vertical="center"/>
    </xf>
    <xf numFmtId="165" fontId="3" fillId="0" borderId="0" xfId="0" applyNumberFormat="1" applyFont="1"/>
    <xf numFmtId="1" fontId="3" fillId="0" borderId="0" xfId="0" applyNumberFormat="1" applyFont="1"/>
    <xf numFmtId="0" fontId="3" fillId="3" borderId="2" xfId="0" applyFont="1" applyFill="1" applyBorder="1"/>
    <xf numFmtId="0" fontId="3" fillId="3" borderId="2" xfId="0" applyFont="1" applyFill="1" applyBorder="1" applyAlignment="1">
      <alignment horizontal="center" vertical="center"/>
    </xf>
    <xf numFmtId="165" fontId="3" fillId="3" borderId="2" xfId="0" applyNumberFormat="1" applyFont="1" applyFill="1" applyBorder="1" applyAlignment="1">
      <alignment horizontal="right" vertical="center"/>
    </xf>
    <xf numFmtId="165" fontId="3" fillId="3" borderId="2" xfId="0" applyNumberFormat="1" applyFont="1" applyFill="1" applyBorder="1"/>
    <xf numFmtId="1" fontId="3" fillId="3" borderId="2" xfId="0" applyNumberFormat="1" applyFont="1" applyFill="1" applyBorder="1"/>
    <xf numFmtId="1" fontId="0" fillId="0" borderId="0" xfId="0" applyNumberFormat="1" applyAlignment="1">
      <alignment horizontal="left"/>
    </xf>
    <xf numFmtId="0" fontId="0" fillId="0" borderId="0" xfId="0" applyAlignment="1">
      <alignment horizontal="centerContinuous"/>
    </xf>
    <xf numFmtId="0" fontId="4" fillId="2" borderId="3" xfId="0" applyFont="1" applyFill="1" applyBorder="1" applyAlignment="1">
      <alignment horizontal="center" vertical="center"/>
    </xf>
    <xf numFmtId="0" fontId="8" fillId="0" borderId="0" xfId="0" applyFont="1"/>
    <xf numFmtId="0" fontId="4" fillId="0" borderId="0" xfId="0" applyFont="1"/>
    <xf numFmtId="0" fontId="0" fillId="5" borderId="0" xfId="0" applyFill="1"/>
    <xf numFmtId="165" fontId="0" fillId="5" borderId="0" xfId="0" applyNumberFormat="1" applyFill="1"/>
    <xf numFmtId="0" fontId="6" fillId="5" borderId="0" xfId="0" applyFont="1" applyFill="1"/>
    <xf numFmtId="165" fontId="6" fillId="5" borderId="0" xfId="0" applyNumberFormat="1" applyFont="1" applyFill="1"/>
    <xf numFmtId="166" fontId="6" fillId="5" borderId="0" xfId="0" applyNumberFormat="1" applyFont="1" applyFill="1"/>
    <xf numFmtId="0" fontId="9" fillId="5" borderId="0" xfId="0" applyFont="1" applyFill="1"/>
    <xf numFmtId="0" fontId="10" fillId="0" borderId="0" xfId="0" applyFont="1" applyAlignment="1">
      <alignment vertical="center"/>
    </xf>
    <xf numFmtId="0" fontId="9" fillId="0" borderId="0" xfId="0" applyFont="1"/>
    <xf numFmtId="0" fontId="9" fillId="0" borderId="0" xfId="0" applyFont="1" applyAlignment="1">
      <alignment horizontal="left" vertical="center" indent="1"/>
    </xf>
    <xf numFmtId="165" fontId="11" fillId="0" borderId="0" xfId="0" applyNumberFormat="1" applyFont="1"/>
    <xf numFmtId="0" fontId="0" fillId="0" borderId="9" xfId="0" applyBorder="1"/>
    <xf numFmtId="10" fontId="0" fillId="0" borderId="10" xfId="2" applyNumberFormat="1" applyFont="1" applyBorder="1"/>
    <xf numFmtId="165" fontId="0" fillId="0" borderId="10" xfId="0" applyNumberFormat="1" applyBorder="1"/>
    <xf numFmtId="165" fontId="11" fillId="0" borderId="10" xfId="0" applyNumberFormat="1" applyFont="1" applyBorder="1"/>
    <xf numFmtId="0" fontId="0" fillId="0" borderId="11" xfId="0" applyBorder="1"/>
    <xf numFmtId="165" fontId="11" fillId="0" borderId="12" xfId="0" applyNumberFormat="1" applyFont="1" applyBorder="1"/>
    <xf numFmtId="0" fontId="9" fillId="4" borderId="4" xfId="0" applyFont="1" applyFill="1" applyBorder="1" applyAlignment="1">
      <alignment horizontal="left" vertical="center"/>
    </xf>
    <xf numFmtId="0" fontId="9" fillId="4" borderId="5" xfId="0" applyFont="1" applyFill="1" applyBorder="1" applyAlignment="1">
      <alignment horizontal="left" vertical="center"/>
    </xf>
    <xf numFmtId="165" fontId="9" fillId="4" borderId="5" xfId="0" applyNumberFormat="1" applyFont="1" applyFill="1" applyBorder="1"/>
    <xf numFmtId="0" fontId="9" fillId="4" borderId="5" xfId="0" applyFont="1" applyFill="1" applyBorder="1"/>
    <xf numFmtId="0" fontId="9" fillId="4" borderId="6" xfId="0" applyFont="1" applyFill="1" applyBorder="1"/>
    <xf numFmtId="0" fontId="9" fillId="0" borderId="0" xfId="0" applyFont="1" applyAlignment="1">
      <alignment horizontal="left" vertical="center" wrapText="1"/>
    </xf>
    <xf numFmtId="0" fontId="9" fillId="4" borderId="2" xfId="0" applyFont="1" applyFill="1" applyBorder="1"/>
    <xf numFmtId="165" fontId="9" fillId="4" borderId="2" xfId="0" applyNumberFormat="1" applyFont="1" applyFill="1" applyBorder="1"/>
    <xf numFmtId="0" fontId="4" fillId="4" borderId="13" xfId="0" applyFont="1" applyFill="1" applyBorder="1" applyAlignment="1">
      <alignment horizontal="center" vertical="center"/>
    </xf>
    <xf numFmtId="0" fontId="4" fillId="4" borderId="3" xfId="0" applyFont="1" applyFill="1" applyBorder="1" applyAlignment="1">
      <alignment horizontal="center" vertical="center"/>
    </xf>
    <xf numFmtId="0" fontId="9" fillId="4" borderId="14" xfId="0" applyFont="1" applyFill="1" applyBorder="1"/>
    <xf numFmtId="0" fontId="0" fillId="0" borderId="15" xfId="0" applyBorder="1" applyAlignment="1">
      <alignment horizontal="left" vertical="center"/>
    </xf>
    <xf numFmtId="0" fontId="0" fillId="0" borderId="0" xfId="0" applyAlignment="1">
      <alignment horizontal="left" vertical="center"/>
    </xf>
    <xf numFmtId="165" fontId="0" fillId="0" borderId="0" xfId="1" applyNumberFormat="1" applyFont="1" applyFill="1" applyBorder="1" applyAlignment="1">
      <alignment horizontal="right" vertical="center"/>
    </xf>
    <xf numFmtId="165" fontId="0" fillId="0" borderId="16" xfId="0" applyNumberFormat="1" applyBorder="1"/>
    <xf numFmtId="0" fontId="0" fillId="0" borderId="17" xfId="0" applyBorder="1" applyAlignment="1">
      <alignment horizontal="left" vertical="center"/>
    </xf>
    <xf numFmtId="0" fontId="0" fillId="0" borderId="18" xfId="0" applyBorder="1" applyAlignment="1">
      <alignment horizontal="left" vertical="center"/>
    </xf>
    <xf numFmtId="165" fontId="0" fillId="0" borderId="18" xfId="1" applyNumberFormat="1" applyFont="1" applyFill="1" applyBorder="1" applyAlignment="1">
      <alignment horizontal="right" vertical="center"/>
    </xf>
    <xf numFmtId="165" fontId="0" fillId="0" borderId="18" xfId="0" applyNumberFormat="1" applyBorder="1"/>
    <xf numFmtId="165" fontId="0" fillId="0" borderId="19" xfId="0" applyNumberFormat="1" applyBorder="1"/>
    <xf numFmtId="0" fontId="9" fillId="0" borderId="0" xfId="0" applyFont="1" applyAlignment="1">
      <alignment horizontal="left" vertical="center" wrapText="1"/>
    </xf>
    <xf numFmtId="0" fontId="9" fillId="0" borderId="0" xfId="0" applyFont="1" applyAlignment="1">
      <alignment vertical="center" wrapText="1"/>
    </xf>
    <xf numFmtId="0" fontId="9" fillId="0" borderId="0" xfId="0" applyFont="1" applyAlignment="1">
      <alignment vertical="center"/>
    </xf>
    <xf numFmtId="0" fontId="12" fillId="7" borderId="0" xfId="0" applyFont="1" applyFill="1" applyAlignment="1">
      <alignment horizontal="center" vertical="center"/>
    </xf>
    <xf numFmtId="0" fontId="7" fillId="0" borderId="0" xfId="0" applyFont="1" applyAlignment="1">
      <alignment horizontal="center" vertical="center"/>
    </xf>
    <xf numFmtId="0" fontId="0" fillId="3" borderId="9" xfId="0" applyFill="1" applyBorder="1" applyAlignment="1">
      <alignment horizontal="center"/>
    </xf>
    <xf numFmtId="0" fontId="0" fillId="3" borderId="10" xfId="0"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xf numFmtId="0" fontId="0" fillId="0" borderId="0" xfId="0" applyNumberFormat="1"/>
    <xf numFmtId="0" fontId="4" fillId="2" borderId="13" xfId="0" applyFont="1" applyFill="1" applyBorder="1" applyAlignment="1">
      <alignment horizontal="center" vertical="center"/>
    </xf>
    <xf numFmtId="0" fontId="4" fillId="2" borderId="3" xfId="0" applyFont="1" applyFill="1" applyBorder="1" applyAlignment="1">
      <alignment horizontal="left" vertical="center"/>
    </xf>
    <xf numFmtId="14" fontId="3" fillId="0" borderId="15" xfId="0" applyNumberFormat="1" applyFont="1" applyBorder="1"/>
  </cellXfs>
  <cellStyles count="3">
    <cellStyle name="Comma" xfId="1" builtinId="3"/>
    <cellStyle name="Normal" xfId="0" builtinId="0"/>
    <cellStyle name="Percent" xfId="2" builtinId="5"/>
  </cellStyles>
  <dxfs count="62">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5" formatCode="_-[$R-1C09]* #,##0.00_-;\-[$R-1C09]* #,##0.00_-;_-[$R-1C09]* &quot;-&quot;??_-;_-@_-"/>
      <fill>
        <patternFill patternType="solid">
          <fgColor indexed="64"/>
          <bgColor theme="7" tint="0.39997558519241921"/>
        </patternFill>
      </fill>
      <border diagonalUp="0" diagonalDown="0" outline="0">
        <left/>
        <right/>
        <top style="medium">
          <color indexed="64"/>
        </top>
        <bottom/>
      </border>
    </dxf>
    <dxf>
      <font>
        <strike val="0"/>
        <outline val="0"/>
        <shadow val="0"/>
        <u val="none"/>
        <vertAlign val="baseline"/>
        <sz val="11"/>
        <color theme="1"/>
        <name val="Calibri"/>
        <family val="2"/>
        <scheme val="minor"/>
      </font>
      <numFmt numFmtId="165" formatCode="_-[$R-1C09]* #,##0.00_-;\-[$R-1C09]* #,##0.00_-;_-[$R-1C09]* &quot;-&quot;??_-;_-@_-"/>
      <border diagonalUp="0" diagonalDown="0">
        <left/>
        <right style="medium">
          <color indexed="64"/>
        </right>
        <vertical/>
      </border>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border diagonalUp="0" diagonalDown="0" outline="0">
        <left/>
        <right style="medium">
          <color indexed="64"/>
        </right>
        <top style="medium">
          <color indexed="64"/>
        </top>
        <bottom style="medium">
          <color indexed="64"/>
        </bottom>
      </border>
    </dxf>
    <dxf>
      <font>
        <strike val="0"/>
        <outline val="0"/>
        <shadow val="0"/>
        <u val="none"/>
        <vertAlign val="baseline"/>
        <sz val="11"/>
        <color theme="1"/>
        <name val="Calibri"/>
        <family val="2"/>
        <scheme val="minor"/>
      </font>
      <numFmt numFmtId="165" formatCode="_-[$R-1C09]* #,##0.00_-;\-[$R-1C09]* #,##0.00_-;_-[$R-1C09]* &quot;-&quot;??_-;_-@_-"/>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border diagonalUp="0" diagonalDown="0" outline="0">
        <left/>
        <right/>
        <top style="medium">
          <color indexed="64"/>
        </top>
        <bottom style="medium">
          <color indexed="64"/>
        </bottom>
      </border>
    </dxf>
    <dxf>
      <font>
        <strike val="0"/>
        <outline val="0"/>
        <shadow val="0"/>
        <u val="none"/>
        <vertAlign val="baseline"/>
        <sz val="11"/>
        <color theme="1"/>
        <name val="Calibri"/>
        <family val="2"/>
        <scheme val="minor"/>
      </font>
      <numFmt numFmtId="165" formatCode="_-[$R-1C09]* #,##0.00_-;\-[$R-1C09]* #,##0.00_-;_-[$R-1C09]* &quot;-&quot;??_-;_-@_-"/>
    </dxf>
    <dxf>
      <font>
        <b/>
        <i val="0"/>
        <strike val="0"/>
        <condense val="0"/>
        <extend val="0"/>
        <outline val="0"/>
        <shadow val="0"/>
        <u val="none"/>
        <vertAlign val="baseline"/>
        <sz val="11"/>
        <color theme="1"/>
        <name val="Calibri"/>
        <family val="2"/>
        <scheme val="minor"/>
      </font>
      <numFmt numFmtId="165" formatCode="_-[$R-1C09]* #,##0.00_-;\-[$R-1C09]* #,##0.00_-;_-[$R-1C09]* &quot;-&quot;??_-;_-@_-"/>
      <fill>
        <patternFill patternType="solid">
          <fgColor indexed="64"/>
          <bgColor theme="7" tint="0.39997558519241921"/>
        </patternFill>
      </fill>
      <border diagonalUp="0" diagonalDown="0" outline="0">
        <left/>
        <right/>
        <top style="medium">
          <color indexed="64"/>
        </top>
        <bottom style="medium">
          <color indexed="64"/>
        </bottom>
      </border>
    </dxf>
    <dxf>
      <font>
        <strike val="0"/>
        <outline val="0"/>
        <shadow val="0"/>
        <u val="none"/>
        <vertAlign val="baseline"/>
        <sz val="11"/>
        <color theme="1"/>
        <name val="Calibri"/>
        <family val="2"/>
        <scheme val="minor"/>
      </font>
      <numFmt numFmtId="165" formatCode="_-[$R-1C09]* #,##0.00_-;\-[$R-1C09]* #,##0.00_-;_-[$R-1C09]* &quot;-&quot;??_-;_-@_-"/>
    </dxf>
    <dxf>
      <font>
        <b/>
        <i val="0"/>
        <strike val="0"/>
        <condense val="0"/>
        <extend val="0"/>
        <outline val="0"/>
        <shadow val="0"/>
        <u val="none"/>
        <vertAlign val="baseline"/>
        <sz val="11"/>
        <color theme="1"/>
        <name val="Calibri"/>
        <family val="2"/>
        <scheme val="minor"/>
      </font>
      <numFmt numFmtId="165" formatCode="_-[$R-1C09]* #,##0.00_-;\-[$R-1C09]* #,##0.00_-;_-[$R-1C09]* &quot;-&quot;??_-;_-@_-"/>
      <fill>
        <patternFill patternType="solid">
          <fgColor indexed="64"/>
          <bgColor theme="7" tint="0.39997558519241921"/>
        </patternFill>
      </fill>
      <border diagonalUp="0" diagonalDown="0" outline="0">
        <left/>
        <right/>
        <top style="medium">
          <color indexed="64"/>
        </top>
        <bottom style="medium">
          <color indexed="64"/>
        </bottom>
      </border>
    </dxf>
    <dxf>
      <font>
        <strike val="0"/>
        <outline val="0"/>
        <shadow val="0"/>
        <u val="none"/>
        <vertAlign val="baseline"/>
        <sz val="11"/>
        <color theme="1"/>
        <name val="Calibri"/>
        <family val="2"/>
        <scheme val="minor"/>
      </font>
      <numFmt numFmtId="165" formatCode="_-[$R-1C09]* #,##0.00_-;\-[$R-1C09]* #,##0.00_-;_-[$R-1C09]* &quot;-&quot;??_-;_-@_-"/>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medium">
          <color indexed="64"/>
        </left>
        <right/>
        <vertical/>
      </border>
    </dxf>
    <dxf>
      <border>
        <top style="medium">
          <color indexed="64"/>
        </top>
      </border>
    </dxf>
    <dxf>
      <font>
        <b/>
      </font>
      <fill>
        <patternFill patternType="solid">
          <fgColor indexed="64"/>
          <bgColor theme="7" tint="0.39997558519241921"/>
        </patternFill>
      </fill>
    </dxf>
    <dxf>
      <font>
        <strike val="0"/>
        <outline val="0"/>
        <shadow val="0"/>
        <u val="none"/>
        <vertAlign val="baseline"/>
        <sz val="11"/>
        <color theme="1"/>
        <name val="Calibri"/>
        <family val="2"/>
        <scheme val="minor"/>
      </font>
    </dxf>
    <dxf>
      <fill>
        <patternFill>
          <fgColor indexed="64"/>
          <bgColor theme="7" tint="0.39997558519241921"/>
        </patternFill>
      </fill>
    </dxf>
    <dxf>
      <font>
        <b val="0"/>
        <i val="0"/>
        <strike val="0"/>
        <condense val="0"/>
        <extend val="0"/>
        <outline val="0"/>
        <shadow val="0"/>
        <u val="none"/>
        <vertAlign val="baseline"/>
        <sz val="11"/>
        <color rgb="FF002060"/>
        <name val="Calibri"/>
        <family val="2"/>
        <scheme val="minor"/>
      </font>
    </dxf>
    <dxf>
      <font>
        <b val="0"/>
        <i val="0"/>
        <strike val="0"/>
        <condense val="0"/>
        <extend val="0"/>
        <outline val="0"/>
        <shadow val="0"/>
        <u val="none"/>
        <vertAlign val="baseline"/>
        <sz val="11"/>
        <color rgb="FF002060"/>
        <name val="Calibri"/>
        <family val="2"/>
        <scheme val="minor"/>
      </font>
    </dxf>
    <dxf>
      <font>
        <b val="0"/>
        <i val="0"/>
        <strike val="0"/>
        <condense val="0"/>
        <extend val="0"/>
        <outline val="0"/>
        <shadow val="0"/>
        <u val="none"/>
        <vertAlign val="baseline"/>
        <sz val="11"/>
        <color rgb="FF002060"/>
        <name val="Calibri"/>
        <family val="2"/>
        <scheme val="minor"/>
      </font>
    </dxf>
    <dxf>
      <font>
        <b val="0"/>
        <i val="0"/>
        <strike val="0"/>
        <condense val="0"/>
        <extend val="0"/>
        <outline val="0"/>
        <shadow val="0"/>
        <u val="none"/>
        <vertAlign val="baseline"/>
        <sz val="11"/>
        <color rgb="FF002060"/>
        <name val="Calibri"/>
        <family val="2"/>
        <scheme val="minor"/>
      </font>
      <numFmt numFmtId="1" formatCode="0"/>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numFmt numFmtId="1" formatCode="0"/>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165" formatCode="_-[$R-1C09]* #,##0.00_-;\-[$R-1C09]* #,##0.00_-;_-[$R-1C09]* &quot;-&quot;??_-;_-@_-"/>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165" formatCode="_-[$R-1C09]* #,##0.00_-;\-[$R-1C09]* #,##0.00_-;_-[$R-1C09]* &quot;-&quot;??_-;_-@_-"/>
      <fill>
        <patternFill patternType="solid">
          <fgColor indexed="64"/>
          <bgColor theme="8" tint="0.79998168889431442"/>
        </patternFill>
      </fill>
      <alignment horizontal="right" vertical="center" textRotation="0" wrapText="0" indent="0" justifyLastLine="0" shrinkToFit="0" readingOrder="0"/>
      <border diagonalUp="0" diagonalDown="0" outline="0">
        <left/>
        <right/>
        <top style="medium">
          <color indexed="64"/>
        </top>
        <bottom/>
      </border>
    </dxf>
    <dxf>
      <font>
        <b val="0"/>
        <i val="0"/>
        <strike val="0"/>
        <condense val="0"/>
        <extend val="0"/>
        <outline val="0"/>
        <shadow val="0"/>
        <u val="none"/>
        <vertAlign val="baseline"/>
        <sz val="11"/>
        <color rgb="FF002060"/>
        <name val="Calibri"/>
        <family val="2"/>
        <scheme val="minor"/>
      </font>
      <numFmt numFmtId="165" formatCode="_-[$R-1C09]* #,##0.00_-;\-[$R-1C09]* #,##0.00_-;_-[$R-1C09]* &quot;-&quot;??_-;_-@_-"/>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medium">
          <color indexed="64"/>
        </top>
        <bottom/>
      </border>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numFmt numFmtId="19" formatCode="dd/mm/yyyy"/>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numFmt numFmtId="19" formatCode="dd/mm/yyyy"/>
      <fill>
        <patternFill patternType="none">
          <fgColor indexed="64"/>
          <bgColor auto="1"/>
        </patternFill>
      </fill>
    </dxf>
    <dxf>
      <border>
        <top style="medium">
          <color indexed="64"/>
        </top>
      </border>
    </dxf>
    <dxf>
      <fill>
        <patternFill patternType="solid">
          <fgColor indexed="64"/>
          <bgColor theme="8" tint="0.79998168889431442"/>
        </patternFill>
      </fill>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color rgb="FF002060"/>
        <name val="Calibri"/>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color theme="0"/>
      </font>
      <fill>
        <patternFill>
          <bgColor theme="2" tint="-0.749961851863155"/>
        </patternFill>
      </fill>
    </dxf>
    <dxf>
      <fill>
        <patternFill patternType="none">
          <bgColor auto="1"/>
        </patternFill>
      </fill>
    </dxf>
    <dxf>
      <font>
        <b/>
        <i val="0"/>
        <sz val="11"/>
        <color theme="0"/>
        <name val="Poppins"/>
      </font>
      <fill>
        <patternFill>
          <bgColor theme="9"/>
        </patternFill>
      </fill>
      <border diagonalUp="0" diagonalDown="0">
        <left/>
        <right/>
        <top/>
        <bottom/>
        <vertical/>
        <horizontal/>
      </border>
    </dxf>
    <dxf>
      <font>
        <sz val="10"/>
        <color theme="0"/>
        <name val="Poppins"/>
      </font>
      <fill>
        <patternFill>
          <bgColor theme="9"/>
        </patternFill>
      </fill>
      <border diagonalUp="0" diagonalDown="0">
        <left/>
        <right/>
        <top/>
        <bottom/>
        <vertical/>
        <horizontal/>
      </border>
    </dxf>
    <dxf>
      <font>
        <color theme="7"/>
      </font>
      <border>
        <bottom style="thin">
          <color theme="4"/>
        </bottom>
        <vertical/>
        <horizontal/>
      </border>
    </dxf>
    <dxf>
      <font>
        <color theme="0"/>
      </font>
      <fill>
        <patternFill>
          <bgColor theme="1" tint="0.14996795556505021"/>
        </patternFill>
      </fill>
      <border diagonalUp="0" diagonalDown="0">
        <left/>
        <right/>
        <top/>
        <bottom/>
        <vertical/>
        <horizontal/>
      </border>
    </dxf>
    <dxf>
      <font>
        <b/>
        <i val="0"/>
        <sz val="14"/>
        <color theme="7"/>
        <name val="Calibri"/>
        <family val="2"/>
        <scheme val="minor"/>
      </font>
      <border>
        <bottom style="thin">
          <color theme="4"/>
        </bottom>
        <vertical/>
        <horizontal/>
      </border>
    </dxf>
    <dxf>
      <font>
        <color theme="0"/>
      </font>
      <fill>
        <patternFill>
          <bgColor theme="1" tint="0.14996795556505021"/>
        </patternFill>
      </fill>
      <border diagonalUp="0" diagonalDown="0">
        <left/>
        <right/>
        <top/>
        <bottom/>
        <vertical/>
        <horizontal/>
      </border>
    </dxf>
  </dxfs>
  <tableStyles count="5" defaultTableStyle="TableStyleMedium2" defaultPivotStyle="PivotStyleLight16">
    <tableStyle name="Sales Dashboard" pivot="0" table="0" count="10" xr9:uid="{4D69D9EF-16F1-4F6A-811C-814EFCA2793D}">
      <tableStyleElement type="wholeTable" dxfId="61"/>
      <tableStyleElement type="headerRow" dxfId="60"/>
    </tableStyle>
    <tableStyle name="Sales Dashboard 2" pivot="0" table="0" count="10" xr9:uid="{31AB1A58-08CF-4719-BF2F-0BE8A39FB4E8}">
      <tableStyleElement type="wholeTable" dxfId="59"/>
      <tableStyleElement type="headerRow" dxfId="58"/>
    </tableStyle>
    <tableStyle name="SLICER" pivot="0" table="0" count="10" xr9:uid="{C2F4C036-8D81-403F-996E-142D1BF5CBC0}">
      <tableStyleElement type="wholeTable" dxfId="57"/>
      <tableStyleElement type="headerRow" dxfId="56"/>
    </tableStyle>
    <tableStyle name="Slicer Style 1" pivot="0" table="0" count="1" xr9:uid="{E43D6CB8-DAC9-425A-896F-717AEF861F20}">
      <tableStyleElement type="wholeTable" dxfId="55"/>
    </tableStyle>
    <tableStyle name="Slicer Style 2" pivot="0" table="0" count="1" xr9:uid="{D24A8AC1-49C9-439F-B06E-43DB55EE7A2D}">
      <tableStyleElement type="wholeTable" dxfId="54"/>
    </tableStyle>
  </tableStyles>
  <colors>
    <mruColors>
      <color rgb="FF000000"/>
      <color rgb="FFE7EFFF"/>
      <color rgb="FF0000FF"/>
      <color rgb="FFFF0000"/>
      <color rgb="FF00FF00"/>
      <color rgb="FFF3F3F3"/>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name val="Calibri"/>
            <family val="2"/>
            <scheme val="minor"/>
          </font>
          <fill>
            <patternFill patternType="solid">
              <fgColor theme="8" tint="-0.499984740745262"/>
              <bgColor theme="8"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ales Dashboard">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ales Dashboard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5" Type="http://schemas.openxmlformats.org/officeDocument/2006/relationships/customXml" Target="../customXml/item8.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7.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6.xml"/><Relationship Id="rId10" Type="http://schemas.microsoft.com/office/2007/relationships/slicerCache" Target="slicerCaches/slicerCache2.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lotArea>
      <c:layout>
        <c:manualLayout>
          <c:layoutTarget val="inner"/>
          <c:xMode val="edge"/>
          <c:yMode val="edge"/>
          <c:x val="0.13413716129705353"/>
          <c:y val="2.4218339895013121E-2"/>
          <c:w val="0.71527660493148082"/>
          <c:h val="0.80575071943083709"/>
        </c:manualLayout>
      </c:layout>
      <c:barChart>
        <c:barDir val="col"/>
        <c:grouping val="clustered"/>
        <c:varyColors val="0"/>
        <c:ser>
          <c:idx val="3"/>
          <c:order val="3"/>
          <c:tx>
            <c:v>Actual</c:v>
          </c:tx>
          <c:spPr>
            <a:gradFill flip="none" rotWithShape="1">
              <a:gsLst>
                <a:gs pos="66000">
                  <a:schemeClr val="accent3">
                    <a:lumMod val="0"/>
                    <a:lumOff val="100000"/>
                  </a:schemeClr>
                </a:gs>
                <a:gs pos="35000">
                  <a:schemeClr val="accent3">
                    <a:lumMod val="0"/>
                    <a:lumOff val="100000"/>
                  </a:schemeClr>
                </a:gs>
                <a:gs pos="91000">
                  <a:schemeClr val="accent3">
                    <a:lumMod val="100000"/>
                  </a:schemeClr>
                </a:gs>
              </a:gsLst>
              <a:path path="circle">
                <a:fillToRect l="50000" t="-80000" r="50000" b="180000"/>
              </a:path>
              <a:tileRect/>
            </a:gradFill>
            <a:ln>
              <a:noFill/>
            </a:ln>
            <a:effectLst/>
          </c:spPr>
          <c:invertIfNegative val="0"/>
          <c:val>
            <c:numRef>
              <c:f>'Target Analysis'!$E$4:$E$15</c:f>
              <c:numCache>
                <c:formatCode>_-[$R-1C09]* #,##0.00_-;\-[$R-1C09]* #,##0.00_-;_-[$R-1C09]* "-"??_-;_-@_-</c:formatCode>
                <c:ptCount val="12"/>
                <c:pt idx="0">
                  <c:v>92118.789999999964</c:v>
                </c:pt>
                <c:pt idx="1">
                  <c:v>91137.049999999988</c:v>
                </c:pt>
                <c:pt idx="2">
                  <c:v>97920.72</c:v>
                </c:pt>
                <c:pt idx="3">
                  <c:v>72320.89</c:v>
                </c:pt>
                <c:pt idx="4">
                  <c:v>70511.75999999998</c:v>
                </c:pt>
                <c:pt idx="5">
                  <c:v>66727.399999999994</c:v>
                </c:pt>
                <c:pt idx="6">
                  <c:v>92661.550000000017</c:v>
                </c:pt>
                <c:pt idx="7">
                  <c:v>69125.749999999985</c:v>
                </c:pt>
                <c:pt idx="8">
                  <c:v>78253.529999999984</c:v>
                </c:pt>
                <c:pt idx="9">
                  <c:v>87136.37</c:v>
                </c:pt>
                <c:pt idx="10">
                  <c:v>75659.86</c:v>
                </c:pt>
                <c:pt idx="11">
                  <c:v>90997.389999999985</c:v>
                </c:pt>
              </c:numCache>
            </c:numRef>
          </c:val>
          <c:extLst>
            <c:ext xmlns:c16="http://schemas.microsoft.com/office/drawing/2014/chart" uri="{C3380CC4-5D6E-409C-BE32-E72D297353CC}">
              <c16:uniqueId val="{00000001-B56D-407B-A744-98ED98D91F82}"/>
            </c:ext>
          </c:extLst>
        </c:ser>
        <c:dLbls>
          <c:showLegendKey val="0"/>
          <c:showVal val="0"/>
          <c:showCatName val="0"/>
          <c:showSerName val="0"/>
          <c:showPercent val="0"/>
          <c:showBubbleSize val="0"/>
        </c:dLbls>
        <c:gapWidth val="17"/>
        <c:axId val="1081538368"/>
        <c:axId val="935029504"/>
        <c:extLst>
          <c:ext xmlns:c15="http://schemas.microsoft.com/office/drawing/2012/chart" uri="{02D57815-91ED-43cb-92C2-25804820EDAC}">
            <c15:filteredBarSeries>
              <c15:ser>
                <c:idx val="0"/>
                <c:order val="1"/>
                <c:tx>
                  <c:v>Below Target</c:v>
                </c:tx>
                <c:spPr>
                  <a:solidFill>
                    <a:schemeClr val="accent3">
                      <a:shade val="58000"/>
                    </a:schemeClr>
                  </a:solidFill>
                  <a:ln>
                    <a:noFill/>
                  </a:ln>
                  <a:effectLst/>
                </c:spPr>
                <c:invertIfNegative val="0"/>
                <c:cat>
                  <c:strRef>
                    <c:extLst>
                      <c:ext uri="{02D57815-91ED-43cb-92C2-25804820EDAC}">
                        <c15:formulaRef>
                          <c15:sqref>'Target Analysis'!$C$4:$C$15</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'Target Analysis'!$F$4:$F$15</c15:sqref>
                        </c15:formulaRef>
                      </c:ext>
                    </c:extLst>
                    <c:numCache>
                      <c:formatCode>_-[$R-1C09]* #,##0.00_-;\-[$R-1C09]* #,##0.00_-;_-[$R-1C09]* "-"??_-;_-@_-</c:formatCode>
                      <c:ptCount val="12"/>
                      <c:pt idx="0">
                        <c:v>0</c:v>
                      </c:pt>
                      <c:pt idx="1">
                        <c:v>91137.049999999988</c:v>
                      </c:pt>
                      <c:pt idx="2">
                        <c:v>97920.72</c:v>
                      </c:pt>
                      <c:pt idx="3">
                        <c:v>72320.89</c:v>
                      </c:pt>
                      <c:pt idx="4">
                        <c:v>70511.75999999998</c:v>
                      </c:pt>
                      <c:pt idx="5">
                        <c:v>66727.399999999994</c:v>
                      </c:pt>
                      <c:pt idx="6">
                        <c:v>0</c:v>
                      </c:pt>
                      <c:pt idx="7">
                        <c:v>69125.749999999985</c:v>
                      </c:pt>
                      <c:pt idx="8">
                        <c:v>78253.529999999984</c:v>
                      </c:pt>
                      <c:pt idx="9">
                        <c:v>0</c:v>
                      </c:pt>
                      <c:pt idx="10">
                        <c:v>75659.86</c:v>
                      </c:pt>
                      <c:pt idx="11">
                        <c:v>0</c:v>
                      </c:pt>
                    </c:numCache>
                  </c:numRef>
                </c:val>
                <c:extLst>
                  <c:ext xmlns:c16="http://schemas.microsoft.com/office/drawing/2014/chart" uri="{C3380CC4-5D6E-409C-BE32-E72D297353CC}">
                    <c16:uniqueId val="{00000000-9A7F-4BF2-B505-473B854B658A}"/>
                  </c:ext>
                </c:extLst>
              </c15:ser>
            </c15:filteredBarSeries>
            <c15:filteredBarSeries>
              <c15:ser>
                <c:idx val="2"/>
                <c:order val="2"/>
                <c:tx>
                  <c:v>Above Target</c:v>
                </c:tx>
                <c:spPr>
                  <a:solidFill>
                    <a:schemeClr val="accent3">
                      <a:tint val="86000"/>
                    </a:schemeClr>
                  </a:solidFill>
                  <a:ln>
                    <a:noFill/>
                  </a:ln>
                  <a:effectLst/>
                </c:spPr>
                <c:invertIfNegative val="0"/>
                <c:cat>
                  <c:strRef>
                    <c:extLst xmlns:c15="http://schemas.microsoft.com/office/drawing/2012/chart">
                      <c:ext xmlns:c15="http://schemas.microsoft.com/office/drawing/2012/chart" uri="{02D57815-91ED-43cb-92C2-25804820EDAC}">
                        <c15:formulaRef>
                          <c15:sqref>'Target Analysis'!$C$4:$C$15</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xmlns:c15="http://schemas.microsoft.com/office/drawing/2012/chart">
                      <c:ext xmlns:c15="http://schemas.microsoft.com/office/drawing/2012/chart" uri="{02D57815-91ED-43cb-92C2-25804820EDAC}">
                        <c15:formulaRef>
                          <c15:sqref>'Target Analysis'!$G$4:$G$15</c15:sqref>
                        </c15:formulaRef>
                      </c:ext>
                    </c:extLst>
                    <c:numCache>
                      <c:formatCode>_-[$R-1C09]* #,##0.00_-;\-[$R-1C09]* #,##0.00_-;_-[$R-1C09]* "-"??_-;_-@_-</c:formatCode>
                      <c:ptCount val="12"/>
                      <c:pt idx="0">
                        <c:v>92118.789999999964</c:v>
                      </c:pt>
                      <c:pt idx="1">
                        <c:v>0</c:v>
                      </c:pt>
                      <c:pt idx="2">
                        <c:v>0</c:v>
                      </c:pt>
                      <c:pt idx="3">
                        <c:v>0</c:v>
                      </c:pt>
                      <c:pt idx="4">
                        <c:v>0</c:v>
                      </c:pt>
                      <c:pt idx="5">
                        <c:v>0</c:v>
                      </c:pt>
                      <c:pt idx="6">
                        <c:v>92661.550000000017</c:v>
                      </c:pt>
                      <c:pt idx="7">
                        <c:v>0</c:v>
                      </c:pt>
                      <c:pt idx="8">
                        <c:v>0</c:v>
                      </c:pt>
                      <c:pt idx="9">
                        <c:v>87136.37</c:v>
                      </c:pt>
                      <c:pt idx="10">
                        <c:v>0</c:v>
                      </c:pt>
                      <c:pt idx="11">
                        <c:v>90997.389999999985</c:v>
                      </c:pt>
                    </c:numCache>
                  </c:numRef>
                </c:val>
                <c:extLst xmlns:c15="http://schemas.microsoft.com/office/drawing/2012/chart">
                  <c:ext xmlns:c16="http://schemas.microsoft.com/office/drawing/2014/chart" uri="{C3380CC4-5D6E-409C-BE32-E72D297353CC}">
                    <c16:uniqueId val="{00000001-9A7F-4BF2-B505-473B854B658A}"/>
                  </c:ext>
                </c:extLst>
              </c15:ser>
            </c15:filteredBarSeries>
          </c:ext>
        </c:extLst>
      </c:barChart>
      <c:lineChart>
        <c:grouping val="standard"/>
        <c:varyColors val="0"/>
        <c:ser>
          <c:idx val="1"/>
          <c:order val="0"/>
          <c:tx>
            <c:v>Target</c:v>
          </c:tx>
          <c:spPr>
            <a:ln w="60325" cap="rnd">
              <a:solidFill>
                <a:schemeClr val="accent4"/>
              </a:solidFill>
              <a:round/>
            </a:ln>
            <a:effectLst/>
          </c:spPr>
          <c:marker>
            <c:symbol val="circle"/>
            <c:size val="5"/>
            <c:spPr>
              <a:solidFill>
                <a:schemeClr val="accent4"/>
              </a:solidFill>
              <a:ln w="9525">
                <a:solidFill>
                  <a:schemeClr val="accent4"/>
                </a:solidFill>
              </a:ln>
              <a:effectLst/>
            </c:spPr>
          </c:marker>
          <c:cat>
            <c:strRef>
              <c:f>'Target Analysis'!$C$4:$C$15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'Target Analysis'!$D$4:$D$15</c:f>
              <c:numCache>
                <c:formatCode>_-[$R-1C09]* #,##0.00_-;\-[$R-1C09]* #,##0.00_-;_-[$R-1C09]* "-"??_-;_-@_-</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2-9A7F-4BF2-B505-473B854B658A}"/>
            </c:ext>
          </c:extLst>
        </c:ser>
        <c:dLbls>
          <c:showLegendKey val="0"/>
          <c:showVal val="0"/>
          <c:showCatName val="0"/>
          <c:showSerName val="0"/>
          <c:showPercent val="0"/>
          <c:showBubbleSize val="0"/>
        </c:dLbls>
        <c:marker val="1"/>
        <c:smooth val="0"/>
        <c:axId val="1081538368"/>
        <c:axId val="935029504"/>
      </c:lineChart>
      <c:catAx>
        <c:axId val="10815383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35029504"/>
        <c:crosses val="autoZero"/>
        <c:auto val="1"/>
        <c:lblAlgn val="ctr"/>
        <c:lblOffset val="100"/>
        <c:noMultiLvlLbl val="0"/>
      </c:catAx>
      <c:valAx>
        <c:axId val="935029504"/>
        <c:scaling>
          <c:orientation val="minMax"/>
        </c:scaling>
        <c:delete val="0"/>
        <c:axPos val="l"/>
        <c:numFmt formatCode="_-[$R-1C09]* #,##0.00_-;\-[$R-1C09]* #,##0.00_-;_-[$R-1C09]* &quot;-&quot;??_-;_-@_-"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081538368"/>
        <c:crosses val="autoZero"/>
        <c:crossBetween val="between"/>
      </c:valAx>
      <c:spPr>
        <a:noFill/>
        <a:ln>
          <a:noFill/>
        </a:ln>
        <a:effectLst/>
      </c:spPr>
    </c:plotArea>
    <c:legend>
      <c:legendPos val="r"/>
      <c:layout>
        <c:manualLayout>
          <c:xMode val="edge"/>
          <c:yMode val="edge"/>
          <c:x val="0.86253242866210833"/>
          <c:y val="0.32979677234814692"/>
          <c:w val="6.7896164760010438E-2"/>
          <c:h val="7.8427311268020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[Brackenfield_Hardware_Sales_Distribution_Dashboard.xlsx]Pivots!PivotTable4</c:name>
    <c:fmtId val="15"/>
  </c:pivotSource>
  <c:chart>
    <c:autoTitleDeleted val="1"/>
    <c:pivotFmts>
      <c:pivotFmt>
        <c:idx val="0"/>
        <c:spPr>
          <a:gradFill>
            <a:gsLst>
              <a:gs pos="88000">
                <a:schemeClr val="accent3">
                  <a:lumMod val="5000"/>
                  <a:lumOff val="95000"/>
                </a:schemeClr>
              </a:gs>
              <a:gs pos="32000">
                <a:schemeClr val="accent3">
                  <a:lumMod val="45000"/>
                  <a:lumOff val="55000"/>
                </a:schemeClr>
              </a:gs>
              <a:gs pos="50000">
                <a:schemeClr val="accent3">
                  <a:lumMod val="45000"/>
                  <a:lumOff val="55000"/>
                </a:schemeClr>
              </a:gs>
              <a:gs pos="69000">
                <a:schemeClr val="accent3">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88000">
                <a:schemeClr val="accent3">
                  <a:lumMod val="5000"/>
                  <a:lumOff val="95000"/>
                </a:schemeClr>
              </a:gs>
              <a:gs pos="32000">
                <a:schemeClr val="accent3">
                  <a:lumMod val="45000"/>
                  <a:lumOff val="55000"/>
                </a:schemeClr>
              </a:gs>
              <a:gs pos="50000">
                <a:schemeClr val="accent3">
                  <a:lumMod val="45000"/>
                  <a:lumOff val="55000"/>
                </a:schemeClr>
              </a:gs>
              <a:gs pos="69000">
                <a:schemeClr val="accent3">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1000">
                <a:srgbClr val="A5A5A5">
                  <a:lumMod val="5000"/>
                  <a:lumOff val="95000"/>
                </a:srgbClr>
              </a:gs>
              <a:gs pos="37000">
                <a:srgbClr val="A5A5A5">
                  <a:lumMod val="45000"/>
                  <a:lumOff val="55000"/>
                </a:srgbClr>
              </a:gs>
              <a:gs pos="64000">
                <a:srgbClr val="A5A5A5">
                  <a:lumMod val="45000"/>
                  <a:lumOff val="55000"/>
                </a:srgbClr>
              </a:gs>
              <a:gs pos="55000">
                <a:srgbClr val="A5A5A5">
                  <a:lumMod val="30000"/>
                  <a:lumOff val="70000"/>
                </a:srgb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19525371844641"/>
          <c:y val="6.5296935040892498E-2"/>
          <c:w val="0.82313098287489683"/>
          <c:h val="0.89814814814814814"/>
        </c:manualLayout>
      </c:layout>
      <c:barChart>
        <c:barDir val="bar"/>
        <c:grouping val="clustered"/>
        <c:varyColors val="0"/>
        <c:ser>
          <c:idx val="0"/>
          <c:order val="0"/>
          <c:tx>
            <c:strRef>
              <c:f>Pivots!$N$4</c:f>
              <c:strCache>
                <c:ptCount val="1"/>
                <c:pt idx="0">
                  <c:v>Total</c:v>
                </c:pt>
              </c:strCache>
            </c:strRef>
          </c:tx>
          <c:spPr>
            <a:gradFill>
              <a:gsLst>
                <a:gs pos="21000">
                  <a:srgbClr val="A5A5A5">
                    <a:lumMod val="5000"/>
                    <a:lumOff val="95000"/>
                  </a:srgbClr>
                </a:gs>
                <a:gs pos="37000">
                  <a:srgbClr val="A5A5A5">
                    <a:lumMod val="45000"/>
                    <a:lumOff val="55000"/>
                  </a:srgbClr>
                </a:gs>
                <a:gs pos="64000">
                  <a:srgbClr val="A5A5A5">
                    <a:lumMod val="45000"/>
                    <a:lumOff val="55000"/>
                  </a:srgbClr>
                </a:gs>
                <a:gs pos="55000">
                  <a:srgbClr val="A5A5A5">
                    <a:lumMod val="30000"/>
                    <a:lumOff val="70000"/>
                  </a:srgb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Pivots!$M$5:$M$15</c:f>
              <c:strCache>
                <c:ptCount val="10"/>
                <c:pt idx="0">
                  <c:v>Self-Tapping Screw 25mm</c:v>
                </c:pt>
                <c:pt idx="1">
                  <c:v>PVC Coupling 25mm</c:v>
                </c:pt>
                <c:pt idx="2">
                  <c:v>Wing Nut M6</c:v>
                </c:pt>
                <c:pt idx="3">
                  <c:v>Pipe Clamp 25mm</c:v>
                </c:pt>
                <c:pt idx="4">
                  <c:v>Corner Bracket 50mm</c:v>
                </c:pt>
                <c:pt idx="5">
                  <c:v>Hose Clamp 32mm</c:v>
                </c:pt>
                <c:pt idx="6">
                  <c:v>Anchor Bolt M10</c:v>
                </c:pt>
                <c:pt idx="7">
                  <c:v>Eye Bolt M10</c:v>
                </c:pt>
                <c:pt idx="8">
                  <c:v>PVC Elbow 20mm</c:v>
                </c:pt>
                <c:pt idx="9">
                  <c:v>Door Latch Set</c:v>
                </c:pt>
              </c:strCache>
            </c:strRef>
          </c:cat>
          <c:val>
            <c:numRef>
              <c:f>Pivots!$N$5:$N$15</c:f>
              <c:numCache>
                <c:formatCode>_-[$R-1C09]* #,##0.00_-;\-[$R-1C09]* #,##0.00_-;_-[$R-1C09]* "-"??_-;_-@_-</c:formatCode>
                <c:ptCount val="10"/>
                <c:pt idx="0">
                  <c:v>34991.64</c:v>
                </c:pt>
                <c:pt idx="1">
                  <c:v>38232</c:v>
                </c:pt>
                <c:pt idx="2">
                  <c:v>38591.280000000006</c:v>
                </c:pt>
                <c:pt idx="3">
                  <c:v>39659.759999999995</c:v>
                </c:pt>
                <c:pt idx="4">
                  <c:v>40883.039999999994</c:v>
                </c:pt>
                <c:pt idx="5">
                  <c:v>41055.299999999996</c:v>
                </c:pt>
                <c:pt idx="6">
                  <c:v>41580</c:v>
                </c:pt>
                <c:pt idx="7">
                  <c:v>49599.360000000008</c:v>
                </c:pt>
                <c:pt idx="8">
                  <c:v>57554.28</c:v>
                </c:pt>
                <c:pt idx="9">
                  <c:v>57968.639999999992</c:v>
                </c:pt>
              </c:numCache>
            </c:numRef>
          </c:val>
          <c:extLst>
            <c:ext xmlns:c16="http://schemas.microsoft.com/office/drawing/2014/chart" uri="{C3380CC4-5D6E-409C-BE32-E72D297353CC}">
              <c16:uniqueId val="{00000000-A7D9-44F5-8DDA-AD2114C09BA9}"/>
            </c:ext>
          </c:extLst>
        </c:ser>
        <c:dLbls>
          <c:showLegendKey val="0"/>
          <c:showVal val="0"/>
          <c:showCatName val="0"/>
          <c:showSerName val="0"/>
          <c:showPercent val="0"/>
          <c:showBubbleSize val="0"/>
        </c:dLbls>
        <c:gapWidth val="44"/>
        <c:overlap val="65"/>
        <c:axId val="1081504032"/>
        <c:axId val="811214752"/>
      </c:barChart>
      <c:catAx>
        <c:axId val="108150403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811214752"/>
        <c:crosses val="autoZero"/>
        <c:auto val="1"/>
        <c:lblAlgn val="ctr"/>
        <c:lblOffset val="100"/>
        <c:noMultiLvlLbl val="0"/>
      </c:catAx>
      <c:valAx>
        <c:axId val="811214752"/>
        <c:scaling>
          <c:orientation val="minMax"/>
        </c:scaling>
        <c:delete val="1"/>
        <c:axPos val="b"/>
        <c:numFmt formatCode="_-[$R-1C09]* #,##0.00_-;\-[$R-1C09]* #,##0.00_-;_-[$R-1C09]* &quot;-&quot;??_-;_-@_-" sourceLinked="1"/>
        <c:majorTickMark val="out"/>
        <c:minorTickMark val="none"/>
        <c:tickLblPos val="nextTo"/>
        <c:crossAx val="108150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[Brackenfield_Hardware_Sales_Distribution_Dashboard.xlsx]Pivots!PivotTable5</c:name>
    <c:fmtId val="5"/>
  </c:pivotSource>
  <c:chart>
    <c:autoTitleDeleted val="1"/>
    <c:pivotFmts>
      <c:pivotFmt>
        <c:idx val="0"/>
        <c:spPr>
          <a:solidFill>
            <a:schemeClr val="accent1"/>
          </a:solidFill>
          <a:ln w="22225">
            <a:solidFill>
              <a:schemeClr val="lt1"/>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2225">
            <a:solidFill>
              <a:schemeClr val="lt1"/>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2225">
            <a:solidFill>
              <a:schemeClr val="lt1"/>
            </a:solidFill>
          </a:ln>
          <a:effectLst/>
        </c:spPr>
      </c:pivotFmt>
      <c:pivotFmt>
        <c:idx val="3"/>
        <c:spPr>
          <a:solidFill>
            <a:schemeClr val="accent1"/>
          </a:solidFill>
          <a:ln w="22225">
            <a:solidFill>
              <a:schemeClr val="lt1"/>
            </a:solidFill>
          </a:ln>
          <a:effectLst/>
        </c:spPr>
      </c:pivotFmt>
      <c:pivotFmt>
        <c:idx val="4"/>
        <c:spPr>
          <a:solidFill>
            <a:schemeClr val="accent1"/>
          </a:solidFill>
          <a:ln w="22225">
            <a:solidFill>
              <a:schemeClr val="lt1"/>
            </a:solidFill>
          </a:ln>
          <a:effectLst/>
        </c:spPr>
      </c:pivotFmt>
      <c:pivotFmt>
        <c:idx val="5"/>
        <c:spPr>
          <a:solidFill>
            <a:schemeClr val="accent1"/>
          </a:solidFill>
          <a:ln w="22225">
            <a:solidFill>
              <a:schemeClr val="lt1"/>
            </a:solidFill>
          </a:ln>
          <a:effectLst/>
        </c:spPr>
      </c:pivotFmt>
      <c:pivotFmt>
        <c:idx val="6"/>
        <c:spPr>
          <a:solidFill>
            <a:schemeClr val="accent1"/>
          </a:solidFill>
          <a:ln w="22225">
            <a:solidFill>
              <a:schemeClr val="lt1"/>
            </a:solidFill>
          </a:ln>
          <a:effectLst/>
        </c:spPr>
      </c:pivotFmt>
      <c:pivotFmt>
        <c:idx val="7"/>
        <c:spPr>
          <a:solidFill>
            <a:schemeClr val="accent1"/>
          </a:solidFill>
          <a:ln w="22225">
            <a:solidFill>
              <a:schemeClr val="lt1"/>
            </a:solidFill>
          </a:ln>
          <a:effectLst/>
        </c:spPr>
      </c:pivotFmt>
      <c:pivotFmt>
        <c:idx val="8"/>
        <c:spPr>
          <a:solidFill>
            <a:schemeClr val="accent1"/>
          </a:solidFill>
          <a:ln w="22225">
            <a:solidFill>
              <a:schemeClr val="lt1"/>
            </a:solidFill>
          </a:ln>
          <a:effectLst/>
        </c:spPr>
      </c:pivotFmt>
      <c:pivotFmt>
        <c:idx val="9"/>
        <c:spPr>
          <a:solidFill>
            <a:schemeClr val="accent1"/>
          </a:solidFill>
          <a:ln w="6350">
            <a:solidFill>
              <a:srgbClr val="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a:noFill/>
                  </a:ln>
                  <a:solidFill>
                    <a:schemeClr val="accent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6350">
            <a:solidFill>
              <a:srgbClr val="000000"/>
            </a:solidFill>
          </a:ln>
          <a:effectLst/>
        </c:spPr>
      </c:pivotFmt>
      <c:pivotFmt>
        <c:idx val="11"/>
        <c:spPr>
          <a:solidFill>
            <a:srgbClr val="C00000"/>
          </a:solidFill>
          <a:ln w="6350">
            <a:solidFill>
              <a:srgbClr val="000000"/>
            </a:solidFill>
          </a:ln>
          <a:effectLst/>
        </c:spPr>
      </c:pivotFmt>
      <c:pivotFmt>
        <c:idx val="12"/>
        <c:spPr>
          <a:solidFill>
            <a:schemeClr val="bg1"/>
          </a:solidFill>
          <a:ln w="6350">
            <a:solidFill>
              <a:srgbClr val="000000"/>
            </a:solidFill>
          </a:ln>
          <a:effectLst/>
        </c:spPr>
      </c:pivotFmt>
      <c:pivotFmt>
        <c:idx val="13"/>
        <c:spPr>
          <a:solidFill>
            <a:schemeClr val="accent6">
              <a:lumMod val="50000"/>
            </a:schemeClr>
          </a:solidFill>
          <a:ln w="6350">
            <a:solidFill>
              <a:srgbClr val="000000"/>
            </a:solidFill>
          </a:ln>
          <a:effectLst/>
        </c:spPr>
      </c:pivotFmt>
      <c:pivotFmt>
        <c:idx val="14"/>
        <c:spPr>
          <a:solidFill>
            <a:schemeClr val="bg2">
              <a:lumMod val="50000"/>
            </a:schemeClr>
          </a:solidFill>
          <a:ln w="6350">
            <a:solidFill>
              <a:srgbClr val="000000"/>
            </a:solidFill>
          </a:ln>
          <a:effectLst/>
        </c:spPr>
      </c:pivotFmt>
      <c:pivotFmt>
        <c:idx val="15"/>
        <c:spPr>
          <a:solidFill>
            <a:schemeClr val="accent1"/>
          </a:solidFill>
          <a:ln w="6350">
            <a:solidFill>
              <a:srgbClr val="000000"/>
            </a:solidFill>
          </a:ln>
          <a:effectLst/>
        </c:spPr>
      </c:pivotFmt>
      <c:pivotFmt>
        <c:idx val="16"/>
        <c:spPr>
          <a:solidFill>
            <a:schemeClr val="accent1"/>
          </a:solidFill>
          <a:ln w="6350">
            <a:solidFill>
              <a:srgbClr val="000000"/>
            </a:solidFill>
          </a:ln>
          <a:effectLst/>
        </c:spPr>
      </c:pivotFmt>
    </c:pivotFmts>
    <c:plotArea>
      <c:layout>
        <c:manualLayout>
          <c:layoutTarget val="inner"/>
          <c:xMode val="edge"/>
          <c:yMode val="edge"/>
          <c:x val="0"/>
          <c:y val="9.6205146373354505E-2"/>
          <c:w val="0.48452978950753678"/>
          <c:h val="0.87641768459735858"/>
        </c:manualLayout>
      </c:layout>
      <c:doughnutChart>
        <c:varyColors val="1"/>
        <c:ser>
          <c:idx val="0"/>
          <c:order val="0"/>
          <c:tx>
            <c:strRef>
              <c:f>Pivots!$R$4</c:f>
              <c:strCache>
                <c:ptCount val="1"/>
                <c:pt idx="0">
                  <c:v>Total</c:v>
                </c:pt>
              </c:strCache>
            </c:strRef>
          </c:tx>
          <c:spPr>
            <a:ln w="6350">
              <a:solidFill>
                <a:srgbClr val="000000"/>
              </a:solidFill>
            </a:ln>
          </c:spPr>
          <c:dPt>
            <c:idx val="0"/>
            <c:bubble3D val="0"/>
            <c:spPr>
              <a:solidFill>
                <a:schemeClr val="accent1"/>
              </a:solidFill>
              <a:ln w="6350">
                <a:solidFill>
                  <a:srgbClr val="000000"/>
                </a:solidFill>
              </a:ln>
              <a:effectLst/>
            </c:spPr>
            <c:extLst>
              <c:ext xmlns:c16="http://schemas.microsoft.com/office/drawing/2014/chart" uri="{C3380CC4-5D6E-409C-BE32-E72D297353CC}">
                <c16:uniqueId val="{00000001-6E57-48AB-A47E-D2CB8B5FF45D}"/>
              </c:ext>
            </c:extLst>
          </c:dPt>
          <c:dPt>
            <c:idx val="1"/>
            <c:bubble3D val="0"/>
            <c:spPr>
              <a:solidFill>
                <a:srgbClr val="C00000"/>
              </a:solidFill>
              <a:ln w="6350">
                <a:solidFill>
                  <a:srgbClr val="000000"/>
                </a:solidFill>
              </a:ln>
              <a:effectLst/>
            </c:spPr>
            <c:extLst>
              <c:ext xmlns:c16="http://schemas.microsoft.com/office/drawing/2014/chart" uri="{C3380CC4-5D6E-409C-BE32-E72D297353CC}">
                <c16:uniqueId val="{00000003-6E57-48AB-A47E-D2CB8B5FF45D}"/>
              </c:ext>
            </c:extLst>
          </c:dPt>
          <c:dPt>
            <c:idx val="2"/>
            <c:bubble3D val="0"/>
            <c:spPr>
              <a:solidFill>
                <a:schemeClr val="bg1"/>
              </a:solidFill>
              <a:ln w="6350">
                <a:solidFill>
                  <a:srgbClr val="000000"/>
                </a:solidFill>
              </a:ln>
              <a:effectLst/>
            </c:spPr>
            <c:extLst>
              <c:ext xmlns:c16="http://schemas.microsoft.com/office/drawing/2014/chart" uri="{C3380CC4-5D6E-409C-BE32-E72D297353CC}">
                <c16:uniqueId val="{00000005-6E57-48AB-A47E-D2CB8B5FF45D}"/>
              </c:ext>
            </c:extLst>
          </c:dPt>
          <c:dPt>
            <c:idx val="3"/>
            <c:bubble3D val="0"/>
            <c:spPr>
              <a:solidFill>
                <a:schemeClr val="accent6">
                  <a:lumMod val="50000"/>
                </a:schemeClr>
              </a:solidFill>
              <a:ln w="6350">
                <a:solidFill>
                  <a:srgbClr val="000000"/>
                </a:solidFill>
              </a:ln>
              <a:effectLst/>
            </c:spPr>
            <c:extLst>
              <c:ext xmlns:c16="http://schemas.microsoft.com/office/drawing/2014/chart" uri="{C3380CC4-5D6E-409C-BE32-E72D297353CC}">
                <c16:uniqueId val="{00000007-6E57-48AB-A47E-D2CB8B5FF45D}"/>
              </c:ext>
            </c:extLst>
          </c:dPt>
          <c:dPt>
            <c:idx val="4"/>
            <c:bubble3D val="0"/>
            <c:spPr>
              <a:solidFill>
                <a:schemeClr val="bg2">
                  <a:lumMod val="50000"/>
                </a:schemeClr>
              </a:solidFill>
              <a:ln w="6350">
                <a:solidFill>
                  <a:srgbClr val="000000"/>
                </a:solidFill>
              </a:ln>
              <a:effectLst/>
            </c:spPr>
            <c:extLst>
              <c:ext xmlns:c16="http://schemas.microsoft.com/office/drawing/2014/chart" uri="{C3380CC4-5D6E-409C-BE32-E72D297353CC}">
                <c16:uniqueId val="{00000009-6E57-48AB-A47E-D2CB8B5FF45D}"/>
              </c:ext>
            </c:extLst>
          </c:dPt>
          <c:dPt>
            <c:idx val="5"/>
            <c:bubble3D val="0"/>
            <c:spPr>
              <a:solidFill>
                <a:schemeClr val="accent6"/>
              </a:solidFill>
              <a:ln w="6350">
                <a:solidFill>
                  <a:srgbClr val="000000"/>
                </a:solidFill>
              </a:ln>
              <a:effectLst/>
            </c:spPr>
            <c:extLst>
              <c:ext xmlns:c16="http://schemas.microsoft.com/office/drawing/2014/chart" uri="{C3380CC4-5D6E-409C-BE32-E72D297353CC}">
                <c16:uniqueId val="{0000000B-6E57-48AB-A47E-D2CB8B5FF45D}"/>
              </c:ext>
            </c:extLst>
          </c:dPt>
          <c:dPt>
            <c:idx val="6"/>
            <c:bubble3D val="0"/>
            <c:spPr>
              <a:solidFill>
                <a:schemeClr val="accent1">
                  <a:lumMod val="60000"/>
                </a:schemeClr>
              </a:solidFill>
              <a:ln w="6350">
                <a:solidFill>
                  <a:srgbClr val="000000"/>
                </a:solidFill>
              </a:ln>
              <a:effectLst/>
            </c:spPr>
            <c:extLst>
              <c:ext xmlns:c16="http://schemas.microsoft.com/office/drawing/2014/chart" uri="{C3380CC4-5D6E-409C-BE32-E72D297353CC}">
                <c16:uniqueId val="{0000000D-6E57-48AB-A47E-D2CB8B5FF45D}"/>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a:noFill/>
                    </a:ln>
                    <a:solidFill>
                      <a:schemeClr val="accent4"/>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Pivots!$Q$5:$Q$12</c:f>
              <c:strCache>
                <c:ptCount val="7"/>
                <c:pt idx="0">
                  <c:v>Central</c:v>
                </c:pt>
                <c:pt idx="1">
                  <c:v>East</c:v>
                </c:pt>
                <c:pt idx="2">
                  <c:v>Export</c:v>
                </c:pt>
                <c:pt idx="3">
                  <c:v>North</c:v>
                </c:pt>
                <c:pt idx="4">
                  <c:v>Northeast</c:v>
                </c:pt>
                <c:pt idx="5">
                  <c:v>South</c:v>
                </c:pt>
                <c:pt idx="6">
                  <c:v>Western</c:v>
                </c:pt>
              </c:strCache>
            </c:strRef>
          </c:cat>
          <c:val>
            <c:numRef>
              <c:f>Pivots!$R$5:$R$12</c:f>
              <c:numCache>
                <c:formatCode>_-[$R-1C09]* #,##0.00_-;\-[$R-1C09]* #,##0.00_-;_-[$R-1C09]* "-"??_-;_-@_-</c:formatCode>
                <c:ptCount val="7"/>
                <c:pt idx="0">
                  <c:v>72920.48000000001</c:v>
                </c:pt>
                <c:pt idx="1">
                  <c:v>75939.73000000001</c:v>
                </c:pt>
                <c:pt idx="2">
                  <c:v>531575.61999999988</c:v>
                </c:pt>
                <c:pt idx="3">
                  <c:v>45081.780000000006</c:v>
                </c:pt>
                <c:pt idx="4">
                  <c:v>83994.49000000002</c:v>
                </c:pt>
                <c:pt idx="5">
                  <c:v>53277.570000000007</c:v>
                </c:pt>
                <c:pt idx="6">
                  <c:v>121781.38999999998</c:v>
                </c:pt>
              </c:numCache>
            </c:numRef>
          </c:val>
          <c:extLst>
            <c:ext xmlns:c16="http://schemas.microsoft.com/office/drawing/2014/chart" uri="{C3380CC4-5D6E-409C-BE32-E72D297353CC}">
              <c16:uniqueId val="{0000000E-6E57-48AB-A47E-D2CB8B5FF45D}"/>
            </c:ext>
          </c:extLst>
        </c:ser>
        <c:dLbls>
          <c:showLegendKey val="0"/>
          <c:showVal val="0"/>
          <c:showCatName val="0"/>
          <c:showSerName val="0"/>
          <c:showPercent val="0"/>
          <c:showBubbleSize val="0"/>
          <c:showLeaderLines val="1"/>
        </c:dLbls>
        <c:firstSliceAng val="120"/>
        <c:holeSize val="45"/>
      </c:doughnutChart>
      <c:spPr>
        <a:noFill/>
        <a:ln>
          <a:noFill/>
        </a:ln>
        <a:effectLst/>
      </c:spPr>
    </c:plotArea>
    <c:legend>
      <c:legendPos val="r"/>
      <c:layout>
        <c:manualLayout>
          <c:xMode val="edge"/>
          <c:yMode val="edge"/>
          <c:x val="0.52630958679572171"/>
          <c:y val="0.10821322065651345"/>
          <c:w val="0.27869691672607616"/>
          <c:h val="0.88689046967645246"/>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[Brackenfield_Hardware_Sales_Distribution_Dashboard.xlsx]Pivots!PivotTable3</c:name>
    <c:fmtId val="8"/>
  </c:pivotSource>
  <c:chart>
    <c:autoTitleDeleted val="1"/>
    <c:pivotFmts>
      <c:pivotFmt>
        <c:idx val="0"/>
        <c:spPr>
          <a:gradFill>
            <a:gsLst>
              <a:gs pos="45000">
                <a:srgbClr val="A5A5A5">
                  <a:lumMod val="67000"/>
                </a:srgbClr>
              </a:gs>
              <a:gs pos="22000">
                <a:srgbClr val="A5A5A5">
                  <a:lumMod val="60000"/>
                  <a:lumOff val="40000"/>
                </a:srgb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45000">
                <a:srgbClr val="A5A5A5">
                  <a:lumMod val="67000"/>
                </a:srgbClr>
              </a:gs>
              <a:gs pos="22000">
                <a:srgbClr val="A5A5A5">
                  <a:lumMod val="60000"/>
                  <a:lumOff val="40000"/>
                </a:srgb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88000">
                <a:schemeClr val="accent3">
                  <a:lumMod val="5000"/>
                  <a:lumOff val="95000"/>
                </a:schemeClr>
              </a:gs>
              <a:gs pos="32000">
                <a:schemeClr val="accent3">
                  <a:lumMod val="45000"/>
                  <a:lumOff val="55000"/>
                </a:schemeClr>
              </a:gs>
              <a:gs pos="50000">
                <a:schemeClr val="accent3">
                  <a:lumMod val="45000"/>
                  <a:lumOff val="55000"/>
                </a:schemeClr>
              </a:gs>
              <a:gs pos="69000">
                <a:schemeClr val="accent3">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88000">
                <a:schemeClr val="accent3">
                  <a:lumMod val="5000"/>
                  <a:lumOff val="95000"/>
                </a:schemeClr>
              </a:gs>
              <a:gs pos="32000">
                <a:schemeClr val="accent3">
                  <a:lumMod val="45000"/>
                  <a:lumOff val="55000"/>
                </a:schemeClr>
              </a:gs>
              <a:gs pos="50000">
                <a:schemeClr val="accent3">
                  <a:lumMod val="45000"/>
                  <a:lumOff val="55000"/>
                </a:schemeClr>
              </a:gs>
              <a:gs pos="69000">
                <a:schemeClr val="accent3">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588682371720817E-2"/>
          <c:y val="2.2909763407945923E-2"/>
          <c:w val="0.81987801257121473"/>
          <c:h val="0.89846829773013692"/>
        </c:manualLayout>
      </c:layout>
      <c:areaChart>
        <c:grouping val="stacked"/>
        <c:varyColors val="0"/>
        <c:ser>
          <c:idx val="0"/>
          <c:order val="0"/>
          <c:tx>
            <c:strRef>
              <c:f>Pivots!$J$4</c:f>
              <c:strCache>
                <c:ptCount val="1"/>
                <c:pt idx="0">
                  <c:v>Total</c:v>
                </c:pt>
              </c:strCache>
            </c:strRef>
          </c:tx>
          <c:spPr>
            <a:gradFill flip="none" rotWithShape="1">
              <a:gsLst>
                <a:gs pos="88000">
                  <a:schemeClr val="accent3">
                    <a:lumMod val="5000"/>
                    <a:lumOff val="95000"/>
                  </a:schemeClr>
                </a:gs>
                <a:gs pos="32000">
                  <a:schemeClr val="accent3">
                    <a:lumMod val="45000"/>
                    <a:lumOff val="55000"/>
                  </a:schemeClr>
                </a:gs>
                <a:gs pos="50000">
                  <a:schemeClr val="accent3">
                    <a:lumMod val="45000"/>
                    <a:lumOff val="55000"/>
                  </a:schemeClr>
                </a:gs>
                <a:gs pos="69000">
                  <a:schemeClr val="accent3">
                    <a:lumMod val="30000"/>
                    <a:lumOff val="70000"/>
                  </a:schemeClr>
                </a:gs>
              </a:gsLst>
              <a:lin ang="5400000" scaled="1"/>
              <a:tileRect/>
            </a:gradFill>
            <a:ln>
              <a:noFill/>
            </a:ln>
            <a:effectLst/>
          </c:spPr>
          <c:cat>
            <c:strRef>
              <c:f>Pivots!$I$5:$I$58</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Pivots!$J$5:$J$58</c:f>
              <c:numCache>
                <c:formatCode>_-[$R-1C09]* #,##0.00_-;\-[$R-1C09]* #,##0.00_-;_-[$R-1C09]* "-"??_-;_-@_-</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extLst>
            <c:ext xmlns:c16="http://schemas.microsoft.com/office/drawing/2014/chart" uri="{C3380CC4-5D6E-409C-BE32-E72D297353CC}">
              <c16:uniqueId val="{00000000-27CB-46AC-90EF-A21782EC96AB}"/>
            </c:ext>
          </c:extLst>
        </c:ser>
        <c:dLbls>
          <c:showLegendKey val="0"/>
          <c:showVal val="0"/>
          <c:showCatName val="0"/>
          <c:showSerName val="0"/>
          <c:showPercent val="0"/>
          <c:showBubbleSize val="0"/>
        </c:dLbls>
        <c:axId val="1081556464"/>
        <c:axId val="935058784"/>
      </c:areaChart>
      <c:catAx>
        <c:axId val="1081556464"/>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935058784"/>
        <c:crosses val="autoZero"/>
        <c:auto val="1"/>
        <c:lblAlgn val="ctr"/>
        <c:lblOffset val="100"/>
        <c:tickLblSkip val="3"/>
        <c:tickMarkSkip val="1"/>
        <c:noMultiLvlLbl val="0"/>
      </c:catAx>
      <c:valAx>
        <c:axId val="935058784"/>
        <c:scaling>
          <c:orientation val="minMax"/>
        </c:scaling>
        <c:delete val="0"/>
        <c:axPos val="l"/>
        <c:numFmt formatCode="_-[$R-1C09]* #,##0.00_-;\-[$R-1C09]* #,##0.00_-;_-[$R-1C09]* &quot;-&quot;??_-;_-@_-"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081556464"/>
        <c:crossesAt val="1"/>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00000000-7826-49B7-A79C-1292AC011437}">
          <cx:tx>
            <cx:txData>
              <cx:f>_xlchart.v2.1</cx:f>
              <cx:v>Amount</cx:v>
            </cx:txData>
          </cx:tx>
          <cx:spPr>
            <a:solidFill>
              <a:schemeClr val="bg1"/>
            </a:solidFill>
            <a:ln w="12700">
              <a:solidFill>
                <a:schemeClr val="accent2"/>
              </a:solidFill>
            </a:ln>
          </cx:spPr>
          <cx:dataPt idx="13">
            <cx:spPr>
              <a:solidFill>
                <a:sysClr val="window" lastClr="FFFFFF"/>
              </a:solidFill>
            </cx:spPr>
          </cx:dataPt>
          <cx:dataLabels>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panose="020F0502020204030204"/>
                </a:endParaRPr>
              </a:p>
            </cx:txPr>
            <cx:visibility seriesName="0" categoryName="0" value="1"/>
            <cx:separator>, </cx:separator>
          </cx:dataLabels>
          <cx:dataId val="0"/>
        </cx:series>
      </cx:plotAreaRegion>
      <cx:axis id="0">
        <cx:catScaling gapWidth="0"/>
        <cx:tickLabels/>
        <cx:txPr>
          <a:bodyPr spcFirstLastPara="1" vertOverflow="ellipsis" horzOverflow="overflow" wrap="square" lIns="0" tIns="0" rIns="0" bIns="0" anchor="ctr" anchorCtr="1"/>
          <a:lstStyle/>
          <a:p>
            <a:pPr algn="ctr" rtl="0">
              <a:defRPr sz="1600">
                <a:solidFill>
                  <a:schemeClr val="bg1"/>
                </a:solidFill>
              </a:defRPr>
            </a:pPr>
            <a:endParaRPr lang="en-US" sz="1600" b="0" i="0" u="none" strike="noStrike" baseline="0">
              <a:solidFill>
                <a:schemeClr val="bg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3.xml"/><Relationship Id="rId21" Type="http://schemas.openxmlformats.org/officeDocument/2006/relationships/image" Target="../media/image16.svg"/><Relationship Id="rId7" Type="http://schemas.microsoft.com/office/2014/relationships/chartEx" Target="../charts/chartEx1.xml"/><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6.svg"/><Relationship Id="rId5" Type="http://schemas.openxmlformats.org/officeDocument/2006/relationships/image" Target="../media/image2.svg"/><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image" Target="../media/image1.png"/><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95250</xdr:colOff>
      <xdr:row>17</xdr:row>
      <xdr:rowOff>152401</xdr:rowOff>
    </xdr:from>
    <xdr:to>
      <xdr:col>22</xdr:col>
      <xdr:colOff>19050</xdr:colOff>
      <xdr:row>46</xdr:row>
      <xdr:rowOff>20595</xdr:rowOff>
    </xdr:to>
    <xdr:sp macro="" textlink="">
      <xdr:nvSpPr>
        <xdr:cNvPr id="58" name="Rectangle: Rounded Corners 4">
          <a:extLst>
            <a:ext uri="{FF2B5EF4-FFF2-40B4-BE49-F238E27FC236}">
              <a16:creationId xmlns:a16="http://schemas.microsoft.com/office/drawing/2014/main" id="{655A170C-EBD9-4332-8F55-F1F882FA0F5C}"/>
            </a:ext>
          </a:extLst>
        </xdr:cNvPr>
        <xdr:cNvSpPr/>
      </xdr:nvSpPr>
      <xdr:spPr>
        <a:xfrm>
          <a:off x="2690169" y="3303374"/>
          <a:ext cx="10427043" cy="5243383"/>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16</xdr:col>
      <xdr:colOff>331306</xdr:colOff>
      <xdr:row>8</xdr:row>
      <xdr:rowOff>64770</xdr:rowOff>
    </xdr:from>
    <xdr:to>
      <xdr:col>22</xdr:col>
      <xdr:colOff>33131</xdr:colOff>
      <xdr:row>17</xdr:row>
      <xdr:rowOff>49695</xdr:rowOff>
    </xdr:to>
    <xdr:sp macro="" textlink="">
      <xdr:nvSpPr>
        <xdr:cNvPr id="54" name="Rectangle: Rounded Corners 4">
          <a:extLst>
            <a:ext uri="{FF2B5EF4-FFF2-40B4-BE49-F238E27FC236}">
              <a16:creationId xmlns:a16="http://schemas.microsoft.com/office/drawing/2014/main" id="{698BFF29-D369-429E-B881-4E734DBF3B92}"/>
            </a:ext>
          </a:extLst>
        </xdr:cNvPr>
        <xdr:cNvSpPr/>
      </xdr:nvSpPr>
      <xdr:spPr>
        <a:xfrm>
          <a:off x="9657523" y="1522509"/>
          <a:ext cx="3379304" cy="1624882"/>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oneCellAnchor>
    <xdr:from>
      <xdr:col>76</xdr:col>
      <xdr:colOff>0</xdr:colOff>
      <xdr:row>24</xdr:row>
      <xdr:rowOff>31315</xdr:rowOff>
    </xdr:from>
    <xdr:ext cx="605424" cy="187890"/>
    <xdr:sp macro="" textlink="">
      <xdr:nvSpPr>
        <xdr:cNvPr id="17" name="TextBox 16">
          <a:extLst>
            <a:ext uri="{FF2B5EF4-FFF2-40B4-BE49-F238E27FC236}">
              <a16:creationId xmlns:a16="http://schemas.microsoft.com/office/drawing/2014/main" id="{AC00F6E3-E0A3-4544-7273-ACA72AFF8666}"/>
            </a:ext>
          </a:extLst>
        </xdr:cNvPr>
        <xdr:cNvSpPr txBox="1"/>
      </xdr:nvSpPr>
      <xdr:spPr>
        <a:xfrm>
          <a:off x="46617699" y="4540685"/>
          <a:ext cx="605424" cy="1878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ZA" sz="1100"/>
        </a:p>
      </xdr:txBody>
    </xdr:sp>
    <xdr:clientData/>
  </xdr:oneCellAnchor>
  <xdr:twoCellAnchor>
    <xdr:from>
      <xdr:col>5</xdr:col>
      <xdr:colOff>105606</xdr:colOff>
      <xdr:row>7</xdr:row>
      <xdr:rowOff>179070</xdr:rowOff>
    </xdr:from>
    <xdr:to>
      <xdr:col>10</xdr:col>
      <xdr:colOff>0</xdr:colOff>
      <xdr:row>17</xdr:row>
      <xdr:rowOff>49530</xdr:rowOff>
    </xdr:to>
    <xdr:sp macro="" textlink="">
      <xdr:nvSpPr>
        <xdr:cNvPr id="5" name="Rectangle: Rounded Corners 4">
          <a:extLst>
            <a:ext uri="{FF2B5EF4-FFF2-40B4-BE49-F238E27FC236}">
              <a16:creationId xmlns:a16="http://schemas.microsoft.com/office/drawing/2014/main" id="{D4F6F910-51E0-0796-95CE-FC6A3259A6E3}"/>
            </a:ext>
          </a:extLst>
        </xdr:cNvPr>
        <xdr:cNvSpPr/>
      </xdr:nvSpPr>
      <xdr:spPr>
        <a:xfrm>
          <a:off x="2632238" y="1442386"/>
          <a:ext cx="2902288" cy="1675197"/>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200527</xdr:colOff>
      <xdr:row>7</xdr:row>
      <xdr:rowOff>165100</xdr:rowOff>
    </xdr:from>
    <xdr:to>
      <xdr:col>16</xdr:col>
      <xdr:colOff>228601</xdr:colOff>
      <xdr:row>17</xdr:row>
      <xdr:rowOff>60136</xdr:rowOff>
    </xdr:to>
    <xdr:sp macro="" textlink="">
      <xdr:nvSpPr>
        <xdr:cNvPr id="7" name="Rectangle: Rounded Corners 4">
          <a:extLst>
            <a:ext uri="{FF2B5EF4-FFF2-40B4-BE49-F238E27FC236}">
              <a16:creationId xmlns:a16="http://schemas.microsoft.com/office/drawing/2014/main" id="{BFFA7045-EB0F-4C4F-87B0-ADC075CDCDC1}"/>
            </a:ext>
          </a:extLst>
        </xdr:cNvPr>
        <xdr:cNvSpPr/>
      </xdr:nvSpPr>
      <xdr:spPr>
        <a:xfrm>
          <a:off x="5735053" y="1428416"/>
          <a:ext cx="3637548" cy="1699773"/>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57150</xdr:colOff>
      <xdr:row>30</xdr:row>
      <xdr:rowOff>44451</xdr:rowOff>
    </xdr:from>
    <xdr:to>
      <xdr:col>4</xdr:col>
      <xdr:colOff>484909</xdr:colOff>
      <xdr:row>43</xdr:row>
      <xdr:rowOff>13855</xdr:rowOff>
    </xdr:to>
    <xdr:sp macro="" textlink="">
      <xdr:nvSpPr>
        <xdr:cNvPr id="8" name="Rectangle: Rounded Corners 4">
          <a:extLst>
            <a:ext uri="{FF2B5EF4-FFF2-40B4-BE49-F238E27FC236}">
              <a16:creationId xmlns:a16="http://schemas.microsoft.com/office/drawing/2014/main" id="{EC12948A-A27A-460D-B4B8-ECAFCF62C254}"/>
            </a:ext>
          </a:extLst>
        </xdr:cNvPr>
        <xdr:cNvSpPr/>
      </xdr:nvSpPr>
      <xdr:spPr>
        <a:xfrm>
          <a:off x="57150" y="5447724"/>
          <a:ext cx="2381250" cy="2310822"/>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22</xdr:col>
      <xdr:colOff>185353</xdr:colOff>
      <xdr:row>7</xdr:row>
      <xdr:rowOff>164726</xdr:rowOff>
    </xdr:from>
    <xdr:to>
      <xdr:col>29</xdr:col>
      <xdr:colOff>473676</xdr:colOff>
      <xdr:row>26</xdr:row>
      <xdr:rowOff>140656</xdr:rowOff>
    </xdr:to>
    <xdr:sp macro="" textlink="">
      <xdr:nvSpPr>
        <xdr:cNvPr id="9" name="Rectangle: Rounded Corners 4">
          <a:extLst>
            <a:ext uri="{FF2B5EF4-FFF2-40B4-BE49-F238E27FC236}">
              <a16:creationId xmlns:a16="http://schemas.microsoft.com/office/drawing/2014/main" id="{5E66C0E6-8162-48F7-8B67-EC8502DD8535}"/>
            </a:ext>
          </a:extLst>
        </xdr:cNvPr>
        <xdr:cNvSpPr/>
      </xdr:nvSpPr>
      <xdr:spPr>
        <a:xfrm>
          <a:off x="13283515" y="1462185"/>
          <a:ext cx="4613188" cy="3497606"/>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38</xdr:col>
      <xdr:colOff>533399</xdr:colOff>
      <xdr:row>8</xdr:row>
      <xdr:rowOff>125730</xdr:rowOff>
    </xdr:from>
    <xdr:to>
      <xdr:col>54</xdr:col>
      <xdr:colOff>426720</xdr:colOff>
      <xdr:row>41</xdr:row>
      <xdr:rowOff>30480</xdr:rowOff>
    </xdr:to>
    <xdr:sp macro="" textlink="">
      <xdr:nvSpPr>
        <xdr:cNvPr id="10" name="Rectangle: Rounded Corners 4">
          <a:extLst>
            <a:ext uri="{FF2B5EF4-FFF2-40B4-BE49-F238E27FC236}">
              <a16:creationId xmlns:a16="http://schemas.microsoft.com/office/drawing/2014/main" id="{2FFB8A67-5370-4C42-9B54-5734D9B0F80F}"/>
            </a:ext>
          </a:extLst>
        </xdr:cNvPr>
        <xdr:cNvSpPr/>
      </xdr:nvSpPr>
      <xdr:spPr>
        <a:xfrm>
          <a:off x="23221949" y="1649730"/>
          <a:ext cx="9646921" cy="6191250"/>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30</xdr:col>
      <xdr:colOff>19050</xdr:colOff>
      <xdr:row>7</xdr:row>
      <xdr:rowOff>133350</xdr:rowOff>
    </xdr:from>
    <xdr:to>
      <xdr:col>38</xdr:col>
      <xdr:colOff>361950</xdr:colOff>
      <xdr:row>46</xdr:row>
      <xdr:rowOff>57150</xdr:rowOff>
    </xdr:to>
    <xdr:sp macro="" textlink="">
      <xdr:nvSpPr>
        <xdr:cNvPr id="11" name="Rectangle: Rounded Corners 4">
          <a:extLst>
            <a:ext uri="{FF2B5EF4-FFF2-40B4-BE49-F238E27FC236}">
              <a16:creationId xmlns:a16="http://schemas.microsoft.com/office/drawing/2014/main" id="{F251F90C-BB21-419F-8B3A-01FDAC5EDED7}"/>
            </a:ext>
          </a:extLst>
        </xdr:cNvPr>
        <xdr:cNvSpPr/>
      </xdr:nvSpPr>
      <xdr:spPr>
        <a:xfrm>
          <a:off x="17830800" y="1466850"/>
          <a:ext cx="5219700" cy="7353300"/>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22</xdr:col>
      <xdr:colOff>190966</xdr:colOff>
      <xdr:row>27</xdr:row>
      <xdr:rowOff>82550</xdr:rowOff>
    </xdr:from>
    <xdr:to>
      <xdr:col>29</xdr:col>
      <xdr:colOff>457200</xdr:colOff>
      <xdr:row>45</xdr:row>
      <xdr:rowOff>152555</xdr:rowOff>
    </xdr:to>
    <xdr:sp macro="" textlink="">
      <xdr:nvSpPr>
        <xdr:cNvPr id="13" name="Rectangle: Rounded Corners 4">
          <a:extLst>
            <a:ext uri="{FF2B5EF4-FFF2-40B4-BE49-F238E27FC236}">
              <a16:creationId xmlns:a16="http://schemas.microsoft.com/office/drawing/2014/main" id="{9AF6DCBC-A683-4D09-808C-F97712CBDD6F}"/>
            </a:ext>
          </a:extLst>
        </xdr:cNvPr>
        <xdr:cNvSpPr/>
      </xdr:nvSpPr>
      <xdr:spPr>
        <a:xfrm>
          <a:off x="13114486" y="5020310"/>
          <a:ext cx="4533434" cy="3361845"/>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38</xdr:col>
      <xdr:colOff>527538</xdr:colOff>
      <xdr:row>43</xdr:row>
      <xdr:rowOff>81554</xdr:rowOff>
    </xdr:from>
    <xdr:to>
      <xdr:col>54</xdr:col>
      <xdr:colOff>410307</xdr:colOff>
      <xdr:row>72</xdr:row>
      <xdr:rowOff>0</xdr:rowOff>
    </xdr:to>
    <xdr:sp macro="" textlink="">
      <xdr:nvSpPr>
        <xdr:cNvPr id="14" name="Rectangle: Rounded Corners 4">
          <a:extLst>
            <a:ext uri="{FF2B5EF4-FFF2-40B4-BE49-F238E27FC236}">
              <a16:creationId xmlns:a16="http://schemas.microsoft.com/office/drawing/2014/main" id="{6F2EAC7E-3D66-42E3-8F6B-13B1471DCD71}"/>
            </a:ext>
          </a:extLst>
        </xdr:cNvPr>
        <xdr:cNvSpPr/>
      </xdr:nvSpPr>
      <xdr:spPr>
        <a:xfrm>
          <a:off x="23074923" y="7642939"/>
          <a:ext cx="9573846" cy="5017984"/>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11</xdr:col>
      <xdr:colOff>375845</xdr:colOff>
      <xdr:row>13</xdr:row>
      <xdr:rowOff>51802</xdr:rowOff>
    </xdr:from>
    <xdr:to>
      <xdr:col>16</xdr:col>
      <xdr:colOff>375845</xdr:colOff>
      <xdr:row>17</xdr:row>
      <xdr:rowOff>39103</xdr:rowOff>
    </xdr:to>
    <xdr:sp macro="" textlink="BY13">
      <xdr:nvSpPr>
        <xdr:cNvPr id="18" name="TextBox 17">
          <a:extLst>
            <a:ext uri="{FF2B5EF4-FFF2-40B4-BE49-F238E27FC236}">
              <a16:creationId xmlns:a16="http://schemas.microsoft.com/office/drawing/2014/main" id="{F0FFD760-A2E2-6746-5780-E9AC0BF73301}"/>
            </a:ext>
          </a:extLst>
        </xdr:cNvPr>
        <xdr:cNvSpPr txBox="1"/>
      </xdr:nvSpPr>
      <xdr:spPr>
        <a:xfrm>
          <a:off x="6511950" y="2397960"/>
          <a:ext cx="3007895" cy="709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510FA4-E730-4F2E-9432-21EAE335C710}" type="TxLink">
            <a:rPr lang="en-US" sz="3600" b="1" i="0" u="none" strike="noStrike">
              <a:solidFill>
                <a:schemeClr val="bg1"/>
              </a:solidFill>
              <a:latin typeface="Calibri"/>
              <a:ea typeface="Calibri"/>
              <a:cs typeface="Calibri"/>
            </a:rPr>
            <a:pPr/>
            <a:t> R984,571.06 </a:t>
          </a:fld>
          <a:endParaRPr lang="en-ZA" sz="3600" b="1">
            <a:solidFill>
              <a:schemeClr val="bg1"/>
            </a:solidFill>
          </a:endParaRPr>
        </a:p>
      </xdr:txBody>
    </xdr:sp>
    <xdr:clientData/>
  </xdr:twoCellAnchor>
  <xdr:twoCellAnchor>
    <xdr:from>
      <xdr:col>38</xdr:col>
      <xdr:colOff>544830</xdr:colOff>
      <xdr:row>13</xdr:row>
      <xdr:rowOff>125730</xdr:rowOff>
    </xdr:from>
    <xdr:to>
      <xdr:col>55</xdr:col>
      <xdr:colOff>60960</xdr:colOff>
      <xdr:row>43</xdr:row>
      <xdr:rowOff>30480</xdr:rowOff>
    </xdr:to>
    <xdr:graphicFrame macro="">
      <xdr:nvGraphicFramePr>
        <xdr:cNvPr id="23" name="Chart 22">
          <a:extLst>
            <a:ext uri="{FF2B5EF4-FFF2-40B4-BE49-F238E27FC236}">
              <a16:creationId xmlns:a16="http://schemas.microsoft.com/office/drawing/2014/main" id="{F1FF0C6C-7925-4813-B06D-A01D3BEA2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443072</xdr:colOff>
      <xdr:row>12</xdr:row>
      <xdr:rowOff>8298</xdr:rowOff>
    </xdr:from>
    <xdr:to>
      <xdr:col>23</xdr:col>
      <xdr:colOff>443072</xdr:colOff>
      <xdr:row>16</xdr:row>
      <xdr:rowOff>8298</xdr:rowOff>
    </xdr:to>
    <xdr:sp macro="" textlink="">
      <xdr:nvSpPr>
        <xdr:cNvPr id="26" name="Flowchart: Connector 25">
          <a:extLst>
            <a:ext uri="{FF2B5EF4-FFF2-40B4-BE49-F238E27FC236}">
              <a16:creationId xmlns:a16="http://schemas.microsoft.com/office/drawing/2014/main" id="{7B52D65C-2943-ECDC-D69F-7F4E4C6D165F}"/>
            </a:ext>
          </a:extLst>
        </xdr:cNvPr>
        <xdr:cNvSpPr/>
      </xdr:nvSpPr>
      <xdr:spPr>
        <a:xfrm>
          <a:off x="13378022" y="2294298"/>
          <a:ext cx="609600" cy="762000"/>
        </a:xfrm>
        <a:prstGeom prst="flowChartConnector">
          <a:avLst/>
        </a:prstGeom>
        <a:solidFill>
          <a:schemeClr val="bg1"/>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22</xdr:col>
      <xdr:colOff>456231</xdr:colOff>
      <xdr:row>16</xdr:row>
      <xdr:rowOff>104384</xdr:rowOff>
    </xdr:from>
    <xdr:to>
      <xdr:col>23</xdr:col>
      <xdr:colOff>456231</xdr:colOff>
      <xdr:row>20</xdr:row>
      <xdr:rowOff>104383</xdr:rowOff>
    </xdr:to>
    <xdr:sp macro="" textlink="">
      <xdr:nvSpPr>
        <xdr:cNvPr id="27" name="Flowchart: Connector 26">
          <a:extLst>
            <a:ext uri="{FF2B5EF4-FFF2-40B4-BE49-F238E27FC236}">
              <a16:creationId xmlns:a16="http://schemas.microsoft.com/office/drawing/2014/main" id="{D747E4AB-2054-40C9-99B9-94E5538C96B6}"/>
            </a:ext>
          </a:extLst>
        </xdr:cNvPr>
        <xdr:cNvSpPr/>
      </xdr:nvSpPr>
      <xdr:spPr>
        <a:xfrm>
          <a:off x="13391181" y="3152384"/>
          <a:ext cx="609600" cy="761999"/>
        </a:xfrm>
        <a:prstGeom prst="flowChartConnector">
          <a:avLst/>
        </a:prstGeom>
        <a:solidFill>
          <a:schemeClr val="bg1"/>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22</xdr:col>
      <xdr:colOff>448551</xdr:colOff>
      <xdr:row>21</xdr:row>
      <xdr:rowOff>40940</xdr:rowOff>
    </xdr:from>
    <xdr:to>
      <xdr:col>23</xdr:col>
      <xdr:colOff>448551</xdr:colOff>
      <xdr:row>25</xdr:row>
      <xdr:rowOff>38100</xdr:rowOff>
    </xdr:to>
    <xdr:sp macro="" textlink="">
      <xdr:nvSpPr>
        <xdr:cNvPr id="28" name="Flowchart: Connector 27">
          <a:extLst>
            <a:ext uri="{FF2B5EF4-FFF2-40B4-BE49-F238E27FC236}">
              <a16:creationId xmlns:a16="http://schemas.microsoft.com/office/drawing/2014/main" id="{25AD4986-79AF-4593-B44E-8BC057B1FA8D}"/>
            </a:ext>
          </a:extLst>
        </xdr:cNvPr>
        <xdr:cNvSpPr/>
      </xdr:nvSpPr>
      <xdr:spPr>
        <a:xfrm>
          <a:off x="13383501" y="4041440"/>
          <a:ext cx="609600" cy="759160"/>
        </a:xfrm>
        <a:prstGeom prst="flowChartConnector">
          <a:avLst/>
        </a:prstGeom>
        <a:solidFill>
          <a:schemeClr val="bg1"/>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22</xdr:col>
      <xdr:colOff>573702</xdr:colOff>
      <xdr:row>12</xdr:row>
      <xdr:rowOff>142446</xdr:rowOff>
    </xdr:from>
    <xdr:to>
      <xdr:col>23</xdr:col>
      <xdr:colOff>254027</xdr:colOff>
      <xdr:row>15</xdr:row>
      <xdr:rowOff>28092</xdr:rowOff>
    </xdr:to>
    <xdr:sp macro="" textlink="">
      <xdr:nvSpPr>
        <xdr:cNvPr id="29" name="TextBox 28">
          <a:extLst>
            <a:ext uri="{FF2B5EF4-FFF2-40B4-BE49-F238E27FC236}">
              <a16:creationId xmlns:a16="http://schemas.microsoft.com/office/drawing/2014/main" id="{89CE9B48-73B7-5007-C1BB-3DAD95335163}"/>
            </a:ext>
          </a:extLst>
        </xdr:cNvPr>
        <xdr:cNvSpPr txBox="1"/>
      </xdr:nvSpPr>
      <xdr:spPr>
        <a:xfrm>
          <a:off x="13508652" y="2428446"/>
          <a:ext cx="289925" cy="457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400" b="1">
              <a:solidFill>
                <a:schemeClr val="accent2"/>
              </a:solidFill>
            </a:rPr>
            <a:t>1</a:t>
          </a:r>
        </a:p>
      </xdr:txBody>
    </xdr:sp>
    <xdr:clientData/>
  </xdr:twoCellAnchor>
  <xdr:twoCellAnchor>
    <xdr:from>
      <xdr:col>22</xdr:col>
      <xdr:colOff>581607</xdr:colOff>
      <xdr:row>22</xdr:row>
      <xdr:rowOff>32619</xdr:rowOff>
    </xdr:from>
    <xdr:to>
      <xdr:col>23</xdr:col>
      <xdr:colOff>353051</xdr:colOff>
      <xdr:row>24</xdr:row>
      <xdr:rowOff>52026</xdr:rowOff>
    </xdr:to>
    <xdr:sp macro="" textlink="">
      <xdr:nvSpPr>
        <xdr:cNvPr id="30" name="TextBox 29">
          <a:extLst>
            <a:ext uri="{FF2B5EF4-FFF2-40B4-BE49-F238E27FC236}">
              <a16:creationId xmlns:a16="http://schemas.microsoft.com/office/drawing/2014/main" id="{65C0A38A-3AF0-4577-A365-64243F4D377F}"/>
            </a:ext>
          </a:extLst>
        </xdr:cNvPr>
        <xdr:cNvSpPr txBox="1"/>
      </xdr:nvSpPr>
      <xdr:spPr>
        <a:xfrm>
          <a:off x="13679769" y="4110349"/>
          <a:ext cx="389282" cy="390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400" b="1">
              <a:solidFill>
                <a:schemeClr val="accent2"/>
              </a:solidFill>
            </a:rPr>
            <a:t>3</a:t>
          </a:r>
        </a:p>
      </xdr:txBody>
    </xdr:sp>
    <xdr:clientData/>
  </xdr:twoCellAnchor>
  <xdr:twoCellAnchor>
    <xdr:from>
      <xdr:col>22</xdr:col>
      <xdr:colOff>585847</xdr:colOff>
      <xdr:row>17</xdr:row>
      <xdr:rowOff>22384</xdr:rowOff>
    </xdr:from>
    <xdr:to>
      <xdr:col>23</xdr:col>
      <xdr:colOff>365529</xdr:colOff>
      <xdr:row>19</xdr:row>
      <xdr:rowOff>47234</xdr:rowOff>
    </xdr:to>
    <xdr:sp macro="" textlink="">
      <xdr:nvSpPr>
        <xdr:cNvPr id="31" name="TextBox 30">
          <a:extLst>
            <a:ext uri="{FF2B5EF4-FFF2-40B4-BE49-F238E27FC236}">
              <a16:creationId xmlns:a16="http://schemas.microsoft.com/office/drawing/2014/main" id="{FDF56CAF-6D86-4654-B5C2-B3826A2721F4}"/>
            </a:ext>
          </a:extLst>
        </xdr:cNvPr>
        <xdr:cNvSpPr txBox="1"/>
      </xdr:nvSpPr>
      <xdr:spPr>
        <a:xfrm>
          <a:off x="13520797" y="3260884"/>
          <a:ext cx="389282" cy="405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400" b="1">
              <a:solidFill>
                <a:schemeClr val="accent2"/>
              </a:solidFill>
            </a:rPr>
            <a:t>2</a:t>
          </a:r>
        </a:p>
      </xdr:txBody>
    </xdr:sp>
    <xdr:clientData/>
  </xdr:twoCellAnchor>
  <xdr:twoCellAnchor>
    <xdr:from>
      <xdr:col>23</xdr:col>
      <xdr:colOff>512225</xdr:colOff>
      <xdr:row>11</xdr:row>
      <xdr:rowOff>166493</xdr:rowOff>
    </xdr:from>
    <xdr:to>
      <xdr:col>26</xdr:col>
      <xdr:colOff>106732</xdr:colOff>
      <xdr:row>13</xdr:row>
      <xdr:rowOff>150052</xdr:rowOff>
    </xdr:to>
    <xdr:sp macro="" textlink="$BJ$11">
      <xdr:nvSpPr>
        <xdr:cNvPr id="32" name="TextBox 31">
          <a:extLst>
            <a:ext uri="{FF2B5EF4-FFF2-40B4-BE49-F238E27FC236}">
              <a16:creationId xmlns:a16="http://schemas.microsoft.com/office/drawing/2014/main" id="{5226B2A0-1353-22F9-1FDF-22596792FE90}"/>
            </a:ext>
          </a:extLst>
        </xdr:cNvPr>
        <xdr:cNvSpPr txBox="1"/>
      </xdr:nvSpPr>
      <xdr:spPr>
        <a:xfrm>
          <a:off x="14056775" y="2261993"/>
          <a:ext cx="1423307" cy="36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7CB20A-20A2-4886-B6C7-747198B53564}" type="TxLink">
            <a:rPr lang="en-US" sz="1600" b="1" i="0" u="none" strike="noStrike">
              <a:solidFill>
                <a:schemeClr val="bg1"/>
              </a:solidFill>
              <a:latin typeface="Calibri"/>
              <a:ea typeface="Calibri"/>
              <a:cs typeface="Calibri"/>
            </a:rPr>
            <a:pPr/>
            <a:t>Stonebridge Commercial</a:t>
          </a:fld>
          <a:endParaRPr lang="en-ZA" sz="1600" b="1">
            <a:solidFill>
              <a:schemeClr val="bg1"/>
            </a:solidFill>
          </a:endParaRPr>
        </a:p>
      </xdr:txBody>
    </xdr:sp>
    <xdr:clientData/>
  </xdr:twoCellAnchor>
  <xdr:twoCellAnchor>
    <xdr:from>
      <xdr:col>23</xdr:col>
      <xdr:colOff>442810</xdr:colOff>
      <xdr:row>13</xdr:row>
      <xdr:rowOff>88465</xdr:rowOff>
    </xdr:from>
    <xdr:to>
      <xdr:col>26</xdr:col>
      <xdr:colOff>37317</xdr:colOff>
      <xdr:row>15</xdr:row>
      <xdr:rowOff>88465</xdr:rowOff>
    </xdr:to>
    <xdr:sp macro="" textlink="$BK$11">
      <xdr:nvSpPr>
        <xdr:cNvPr id="33" name="TextBox 32">
          <a:extLst>
            <a:ext uri="{FF2B5EF4-FFF2-40B4-BE49-F238E27FC236}">
              <a16:creationId xmlns:a16="http://schemas.microsoft.com/office/drawing/2014/main" id="{B4529F45-FD9C-468A-BB06-878FEC294265}"/>
            </a:ext>
          </a:extLst>
        </xdr:cNvPr>
        <xdr:cNvSpPr txBox="1"/>
      </xdr:nvSpPr>
      <xdr:spPr>
        <a:xfrm>
          <a:off x="13987360" y="2564965"/>
          <a:ext cx="142330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95CCA9-449A-4D4D-ACB7-6DD765FEF625}" type="TxLink">
            <a:rPr lang="en-US" sz="1800" b="1" i="0" u="none" strike="noStrike">
              <a:solidFill>
                <a:schemeClr val="accent4"/>
              </a:solidFill>
              <a:latin typeface="Calibri"/>
              <a:ea typeface="Calibri"/>
              <a:cs typeface="Calibri"/>
            </a:rPr>
            <a:pPr/>
            <a:t> R60,929.15 </a:t>
          </a:fld>
          <a:endParaRPr lang="en-ZA" sz="1800" b="1">
            <a:solidFill>
              <a:schemeClr val="accent4"/>
            </a:solidFill>
          </a:endParaRPr>
        </a:p>
      </xdr:txBody>
    </xdr:sp>
    <xdr:clientData/>
  </xdr:twoCellAnchor>
  <xdr:twoCellAnchor>
    <xdr:from>
      <xdr:col>23</xdr:col>
      <xdr:colOff>503614</xdr:colOff>
      <xdr:row>16</xdr:row>
      <xdr:rowOff>48985</xdr:rowOff>
    </xdr:from>
    <xdr:to>
      <xdr:col>26</xdr:col>
      <xdr:colOff>40971</xdr:colOff>
      <xdr:row>18</xdr:row>
      <xdr:rowOff>38100</xdr:rowOff>
    </xdr:to>
    <xdr:sp macro="" textlink="$BJ$12">
      <xdr:nvSpPr>
        <xdr:cNvPr id="34" name="TextBox 33">
          <a:extLst>
            <a:ext uri="{FF2B5EF4-FFF2-40B4-BE49-F238E27FC236}">
              <a16:creationId xmlns:a16="http://schemas.microsoft.com/office/drawing/2014/main" id="{6801DD97-D5F8-4246-B3CC-EFE00320763B}"/>
            </a:ext>
          </a:extLst>
        </xdr:cNvPr>
        <xdr:cNvSpPr txBox="1"/>
      </xdr:nvSpPr>
      <xdr:spPr>
        <a:xfrm>
          <a:off x="14048164" y="3096985"/>
          <a:ext cx="1366157"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30288C-8D72-44EC-8D12-3AD17894D069}" type="TxLink">
            <a:rPr lang="en-US" sz="1600" b="1" i="0" u="none" strike="noStrike">
              <a:solidFill>
                <a:schemeClr val="bg1"/>
              </a:solidFill>
              <a:latin typeface="Calibri"/>
              <a:ea typeface="Calibri"/>
              <a:cs typeface="Calibri"/>
            </a:rPr>
            <a:pPr/>
            <a:t>Southcote Industries</a:t>
          </a:fld>
          <a:endParaRPr lang="en-ZA" sz="1600" b="1">
            <a:solidFill>
              <a:schemeClr val="bg1"/>
            </a:solidFill>
          </a:endParaRPr>
        </a:p>
      </xdr:txBody>
    </xdr:sp>
    <xdr:clientData/>
  </xdr:twoCellAnchor>
  <xdr:twoCellAnchor>
    <xdr:from>
      <xdr:col>23</xdr:col>
      <xdr:colOff>480911</xdr:colOff>
      <xdr:row>17</xdr:row>
      <xdr:rowOff>161533</xdr:rowOff>
    </xdr:from>
    <xdr:to>
      <xdr:col>26</xdr:col>
      <xdr:colOff>56368</xdr:colOff>
      <xdr:row>19</xdr:row>
      <xdr:rowOff>180583</xdr:rowOff>
    </xdr:to>
    <xdr:sp macro="" textlink="$BK$12">
      <xdr:nvSpPr>
        <xdr:cNvPr id="35" name="TextBox 34">
          <a:extLst>
            <a:ext uri="{FF2B5EF4-FFF2-40B4-BE49-F238E27FC236}">
              <a16:creationId xmlns:a16="http://schemas.microsoft.com/office/drawing/2014/main" id="{09DD6EF0-B529-4465-AB5A-9CEA54815C63}"/>
            </a:ext>
          </a:extLst>
        </xdr:cNvPr>
        <xdr:cNvSpPr txBox="1"/>
      </xdr:nvSpPr>
      <xdr:spPr>
        <a:xfrm>
          <a:off x="14025461" y="3400033"/>
          <a:ext cx="1404257"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92719-6409-462B-8F0D-4D275D391584}" type="TxLink">
            <a:rPr lang="en-US" sz="1800" b="1" i="0" u="none" strike="noStrike">
              <a:solidFill>
                <a:schemeClr val="accent4"/>
              </a:solidFill>
              <a:latin typeface="Calibri"/>
              <a:ea typeface="Calibri"/>
              <a:cs typeface="Calibri"/>
            </a:rPr>
            <a:pPr/>
            <a:t> R45,112.95 </a:t>
          </a:fld>
          <a:endParaRPr lang="en-ZA" sz="1800" b="1">
            <a:solidFill>
              <a:schemeClr val="accent4"/>
            </a:solidFill>
          </a:endParaRPr>
        </a:p>
      </xdr:txBody>
    </xdr:sp>
    <xdr:clientData/>
  </xdr:twoCellAnchor>
  <xdr:twoCellAnchor>
    <xdr:from>
      <xdr:col>23</xdr:col>
      <xdr:colOff>493176</xdr:colOff>
      <xdr:row>20</xdr:row>
      <xdr:rowOff>163361</xdr:rowOff>
    </xdr:from>
    <xdr:to>
      <xdr:col>26</xdr:col>
      <xdr:colOff>49583</xdr:colOff>
      <xdr:row>22</xdr:row>
      <xdr:rowOff>176967</xdr:rowOff>
    </xdr:to>
    <xdr:sp macro="" textlink="$BJ$13">
      <xdr:nvSpPr>
        <xdr:cNvPr id="36" name="TextBox 35">
          <a:extLst>
            <a:ext uri="{FF2B5EF4-FFF2-40B4-BE49-F238E27FC236}">
              <a16:creationId xmlns:a16="http://schemas.microsoft.com/office/drawing/2014/main" id="{518E77C8-324B-4925-BC99-24DA1CFF650B}"/>
            </a:ext>
          </a:extLst>
        </xdr:cNvPr>
        <xdr:cNvSpPr txBox="1"/>
      </xdr:nvSpPr>
      <xdr:spPr>
        <a:xfrm>
          <a:off x="14037726" y="3973361"/>
          <a:ext cx="1385207" cy="394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387F82-A7A3-46B7-8AF8-7E4401C3B2C1}" type="TxLink">
            <a:rPr lang="en-US" sz="1600" b="1" i="0" u="none" strike="noStrike">
              <a:solidFill>
                <a:schemeClr val="bg1"/>
              </a:solidFill>
              <a:latin typeface="Calibri"/>
              <a:ea typeface="Calibri"/>
              <a:cs typeface="Calibri"/>
            </a:rPr>
            <a:pPr/>
            <a:t>Larkspur Retailers</a:t>
          </a:fld>
          <a:endParaRPr lang="en-ZA" sz="1600" b="1">
            <a:solidFill>
              <a:schemeClr val="bg1"/>
            </a:solidFill>
          </a:endParaRPr>
        </a:p>
      </xdr:txBody>
    </xdr:sp>
    <xdr:clientData/>
  </xdr:twoCellAnchor>
  <xdr:twoCellAnchor>
    <xdr:from>
      <xdr:col>23</xdr:col>
      <xdr:colOff>489522</xdr:colOff>
      <xdr:row>22</xdr:row>
      <xdr:rowOff>162525</xdr:rowOff>
    </xdr:from>
    <xdr:to>
      <xdr:col>26</xdr:col>
      <xdr:colOff>26879</xdr:colOff>
      <xdr:row>24</xdr:row>
      <xdr:rowOff>151095</xdr:rowOff>
    </xdr:to>
    <xdr:sp macro="" textlink="$BK$13">
      <xdr:nvSpPr>
        <xdr:cNvPr id="37" name="TextBox 36">
          <a:extLst>
            <a:ext uri="{FF2B5EF4-FFF2-40B4-BE49-F238E27FC236}">
              <a16:creationId xmlns:a16="http://schemas.microsoft.com/office/drawing/2014/main" id="{E7C5A209-7C99-4738-B9EE-55EFCA32FFB3}"/>
            </a:ext>
          </a:extLst>
        </xdr:cNvPr>
        <xdr:cNvSpPr txBox="1"/>
      </xdr:nvSpPr>
      <xdr:spPr>
        <a:xfrm>
          <a:off x="14034072" y="4353525"/>
          <a:ext cx="1366157" cy="369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F24EA2-E981-4C30-9FA9-228252D98992}" type="TxLink">
            <a:rPr lang="en-US" sz="1800" b="1" i="0" u="none" strike="noStrike">
              <a:solidFill>
                <a:schemeClr val="accent4"/>
              </a:solidFill>
              <a:latin typeface="Calibri"/>
              <a:ea typeface="Calibri"/>
              <a:cs typeface="Calibri"/>
            </a:rPr>
            <a:pPr/>
            <a:t> R43,062.83 </a:t>
          </a:fld>
          <a:endParaRPr lang="en-ZA" sz="1800" b="1">
            <a:solidFill>
              <a:schemeClr val="accent4"/>
            </a:solidFill>
          </a:endParaRPr>
        </a:p>
      </xdr:txBody>
    </xdr:sp>
    <xdr:clientData/>
  </xdr:twoCellAnchor>
  <xdr:twoCellAnchor>
    <xdr:from>
      <xdr:col>30</xdr:col>
      <xdr:colOff>180341</xdr:colOff>
      <xdr:row>11</xdr:row>
      <xdr:rowOff>60960</xdr:rowOff>
    </xdr:from>
    <xdr:to>
      <xdr:col>38</xdr:col>
      <xdr:colOff>323850</xdr:colOff>
      <xdr:row>45</xdr:row>
      <xdr:rowOff>152400</xdr:rowOff>
    </xdr:to>
    <xdr:graphicFrame macro="">
      <xdr:nvGraphicFramePr>
        <xdr:cNvPr id="42" name="Chart 41">
          <a:extLst>
            <a:ext uri="{FF2B5EF4-FFF2-40B4-BE49-F238E27FC236}">
              <a16:creationId xmlns:a16="http://schemas.microsoft.com/office/drawing/2014/main" id="{F6E6759E-58E4-4CB4-AA15-9D9BE268F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495300</xdr:colOff>
      <xdr:row>31</xdr:row>
      <xdr:rowOff>161194</xdr:rowOff>
    </xdr:from>
    <xdr:to>
      <xdr:col>30</xdr:col>
      <xdr:colOff>438150</xdr:colOff>
      <xdr:row>45</xdr:row>
      <xdr:rowOff>158750</xdr:rowOff>
    </xdr:to>
    <xdr:graphicFrame macro="">
      <xdr:nvGraphicFramePr>
        <xdr:cNvPr id="43" name="Chart 42">
          <a:extLst>
            <a:ext uri="{FF2B5EF4-FFF2-40B4-BE49-F238E27FC236}">
              <a16:creationId xmlns:a16="http://schemas.microsoft.com/office/drawing/2014/main" id="{2B409B4C-44B3-490B-B56E-88EFCD751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93518</xdr:colOff>
      <xdr:row>30</xdr:row>
      <xdr:rowOff>95944</xdr:rowOff>
    </xdr:from>
    <xdr:to>
      <xdr:col>4</xdr:col>
      <xdr:colOff>457200</xdr:colOff>
      <xdr:row>42</xdr:row>
      <xdr:rowOff>173182</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E5484FCC-EE7F-44F1-9C36-847C2006D5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518" y="5499217"/>
              <a:ext cx="2317173" cy="223854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79208</xdr:colOff>
      <xdr:row>8</xdr:row>
      <xdr:rowOff>28528</xdr:rowOff>
    </xdr:from>
    <xdr:to>
      <xdr:col>4</xdr:col>
      <xdr:colOff>526017</xdr:colOff>
      <xdr:row>28</xdr:row>
      <xdr:rowOff>99965</xdr:rowOff>
    </xdr:to>
    <mc:AlternateContent xmlns:mc="http://schemas.openxmlformats.org/markup-compatibility/2006" xmlns:a14="http://schemas.microsoft.com/office/drawing/2010/main">
      <mc:Choice Requires="a14">
        <xdr:graphicFrame macro="">
          <xdr:nvGraphicFramePr>
            <xdr:cNvPr id="45" name="Month">
              <a:extLst>
                <a:ext uri="{FF2B5EF4-FFF2-40B4-BE49-F238E27FC236}">
                  <a16:creationId xmlns:a16="http://schemas.microsoft.com/office/drawing/2014/main" id="{E0F4DF8C-7DAC-4DC6-A20D-F26218D008E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9208" y="1469401"/>
              <a:ext cx="2400300" cy="367361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41</xdr:col>
      <xdr:colOff>0</xdr:colOff>
      <xdr:row>9</xdr:row>
      <xdr:rowOff>28497</xdr:rowOff>
    </xdr:from>
    <xdr:to>
      <xdr:col>51</xdr:col>
      <xdr:colOff>555373</xdr:colOff>
      <xdr:row>13</xdr:row>
      <xdr:rowOff>25535</xdr:rowOff>
    </xdr:to>
    <xdr:sp macro="" textlink="">
      <xdr:nvSpPr>
        <xdr:cNvPr id="4" name="TextBox 3">
          <a:extLst>
            <a:ext uri="{FF2B5EF4-FFF2-40B4-BE49-F238E27FC236}">
              <a16:creationId xmlns:a16="http://schemas.microsoft.com/office/drawing/2014/main" id="{D0F53424-D3E2-36FD-A699-5AB96DBF80D4}"/>
            </a:ext>
          </a:extLst>
        </xdr:cNvPr>
        <xdr:cNvSpPr txBox="1"/>
      </xdr:nvSpPr>
      <xdr:spPr>
        <a:xfrm>
          <a:off x="24183474" y="1652760"/>
          <a:ext cx="6571162" cy="718933"/>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Monthly Sales (Target vs</a:t>
          </a:r>
          <a:r>
            <a:rPr lang="en-ZA" sz="2800" b="1" baseline="0">
              <a:solidFill>
                <a:schemeClr val="accent4"/>
              </a:solidFill>
            </a:rPr>
            <a:t> Actual)</a:t>
          </a:r>
          <a:endParaRPr lang="en-ZA" sz="2800" b="1">
            <a:solidFill>
              <a:schemeClr val="accent4"/>
            </a:solidFill>
          </a:endParaRPr>
        </a:p>
      </xdr:txBody>
    </xdr:sp>
    <xdr:clientData/>
  </xdr:twoCellAnchor>
  <xdr:twoCellAnchor>
    <xdr:from>
      <xdr:col>5</xdr:col>
      <xdr:colOff>164757</xdr:colOff>
      <xdr:row>8</xdr:row>
      <xdr:rowOff>41190</xdr:rowOff>
    </xdr:from>
    <xdr:to>
      <xdr:col>9</xdr:col>
      <xdr:colOff>576649</xdr:colOff>
      <xdr:row>11</xdr:row>
      <xdr:rowOff>61784</xdr:rowOff>
    </xdr:to>
    <xdr:sp macro="" textlink="">
      <xdr:nvSpPr>
        <xdr:cNvPr id="6" name="TextBox 5">
          <a:extLst>
            <a:ext uri="{FF2B5EF4-FFF2-40B4-BE49-F238E27FC236}">
              <a16:creationId xmlns:a16="http://schemas.microsoft.com/office/drawing/2014/main" id="{00FF6848-8F65-D6B5-D7EC-45DC0C24094E}"/>
            </a:ext>
          </a:extLst>
        </xdr:cNvPr>
        <xdr:cNvSpPr txBox="1"/>
      </xdr:nvSpPr>
      <xdr:spPr>
        <a:xfrm>
          <a:off x="2759676" y="1524001"/>
          <a:ext cx="2883243" cy="576648"/>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Total Customers</a:t>
          </a:r>
        </a:p>
      </xdr:txBody>
    </xdr:sp>
    <xdr:clientData/>
  </xdr:twoCellAnchor>
  <xdr:twoCellAnchor>
    <xdr:from>
      <xdr:col>22</xdr:col>
      <xdr:colOff>342754</xdr:colOff>
      <xdr:row>8</xdr:row>
      <xdr:rowOff>27270</xdr:rowOff>
    </xdr:from>
    <xdr:to>
      <xdr:col>29</xdr:col>
      <xdr:colOff>332808</xdr:colOff>
      <xdr:row>11</xdr:row>
      <xdr:rowOff>91440</xdr:rowOff>
    </xdr:to>
    <xdr:sp macro="" textlink="">
      <xdr:nvSpPr>
        <xdr:cNvPr id="15" name="TextBox 14">
          <a:extLst>
            <a:ext uri="{FF2B5EF4-FFF2-40B4-BE49-F238E27FC236}">
              <a16:creationId xmlns:a16="http://schemas.microsoft.com/office/drawing/2014/main" id="{DB7226E4-5ED0-ADDF-B900-DE7DE59888AF}"/>
            </a:ext>
          </a:extLst>
        </xdr:cNvPr>
        <xdr:cNvSpPr txBox="1"/>
      </xdr:nvSpPr>
      <xdr:spPr>
        <a:xfrm>
          <a:off x="13440916" y="1510081"/>
          <a:ext cx="4314919" cy="620224"/>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Top 3 Customers</a:t>
          </a:r>
        </a:p>
      </xdr:txBody>
    </xdr:sp>
    <xdr:clientData/>
  </xdr:twoCellAnchor>
  <xdr:twoCellAnchor>
    <xdr:from>
      <xdr:col>1</xdr:col>
      <xdr:colOff>60158</xdr:colOff>
      <xdr:row>4</xdr:row>
      <xdr:rowOff>96252</xdr:rowOff>
    </xdr:from>
    <xdr:to>
      <xdr:col>38</xdr:col>
      <xdr:colOff>581526</xdr:colOff>
      <xdr:row>6</xdr:row>
      <xdr:rowOff>60158</xdr:rowOff>
    </xdr:to>
    <xdr:sp macro="" textlink="">
      <xdr:nvSpPr>
        <xdr:cNvPr id="16" name="Rectangle 15">
          <a:extLst>
            <a:ext uri="{FF2B5EF4-FFF2-40B4-BE49-F238E27FC236}">
              <a16:creationId xmlns:a16="http://schemas.microsoft.com/office/drawing/2014/main" id="{BD518B65-FD58-C814-C264-80F5DAB17A14}"/>
            </a:ext>
          </a:extLst>
        </xdr:cNvPr>
        <xdr:cNvSpPr/>
      </xdr:nvSpPr>
      <xdr:spPr>
        <a:xfrm>
          <a:off x="180474" y="818147"/>
          <a:ext cx="22779789" cy="324853"/>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38</xdr:col>
      <xdr:colOff>569094</xdr:colOff>
      <xdr:row>2</xdr:row>
      <xdr:rowOff>129540</xdr:rowOff>
    </xdr:from>
    <xdr:to>
      <xdr:col>43</xdr:col>
      <xdr:colOff>96406</xdr:colOff>
      <xdr:row>6</xdr:row>
      <xdr:rowOff>60261</xdr:rowOff>
    </xdr:to>
    <xdr:sp macro="" textlink="">
      <xdr:nvSpPr>
        <xdr:cNvPr id="19" name="Diagonal Stripe 18">
          <a:extLst>
            <a:ext uri="{FF2B5EF4-FFF2-40B4-BE49-F238E27FC236}">
              <a16:creationId xmlns:a16="http://schemas.microsoft.com/office/drawing/2014/main" id="{1F61ECA8-714F-D4B3-429A-D55C56301D74}"/>
            </a:ext>
          </a:extLst>
        </xdr:cNvPr>
        <xdr:cNvSpPr/>
      </xdr:nvSpPr>
      <xdr:spPr>
        <a:xfrm>
          <a:off x="23253834" y="495300"/>
          <a:ext cx="2575312" cy="662241"/>
        </a:xfrm>
        <a:prstGeom prst="diagStripe">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tx1"/>
            </a:solidFill>
          </a:endParaRPr>
        </a:p>
      </xdr:txBody>
    </xdr:sp>
    <xdr:clientData/>
  </xdr:twoCellAnchor>
  <xdr:twoCellAnchor>
    <xdr:from>
      <xdr:col>40</xdr:col>
      <xdr:colOff>462523</xdr:colOff>
      <xdr:row>0</xdr:row>
      <xdr:rowOff>0</xdr:rowOff>
    </xdr:from>
    <xdr:to>
      <xdr:col>54</xdr:col>
      <xdr:colOff>459970</xdr:colOff>
      <xdr:row>4</xdr:row>
      <xdr:rowOff>55418</xdr:rowOff>
    </xdr:to>
    <xdr:sp macro="" textlink="">
      <xdr:nvSpPr>
        <xdr:cNvPr id="20" name="Rectangle 19">
          <a:extLst>
            <a:ext uri="{FF2B5EF4-FFF2-40B4-BE49-F238E27FC236}">
              <a16:creationId xmlns:a16="http://schemas.microsoft.com/office/drawing/2014/main" id="{A0039BCC-2E66-1CE1-3FAE-3B7E5B39D821}"/>
            </a:ext>
          </a:extLst>
        </xdr:cNvPr>
        <xdr:cNvSpPr/>
      </xdr:nvSpPr>
      <xdr:spPr>
        <a:xfrm>
          <a:off x="24358843" y="0"/>
          <a:ext cx="8531847" cy="786938"/>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40</xdr:col>
      <xdr:colOff>109465</xdr:colOff>
      <xdr:row>2</xdr:row>
      <xdr:rowOff>110838</xdr:rowOff>
    </xdr:from>
    <xdr:to>
      <xdr:col>42</xdr:col>
      <xdr:colOff>218322</xdr:colOff>
      <xdr:row>3</xdr:row>
      <xdr:rowOff>83129</xdr:rowOff>
    </xdr:to>
    <xdr:sp macro="" textlink="">
      <xdr:nvSpPr>
        <xdr:cNvPr id="21" name="Isosceles Triangle 20">
          <a:extLst>
            <a:ext uri="{FF2B5EF4-FFF2-40B4-BE49-F238E27FC236}">
              <a16:creationId xmlns:a16="http://schemas.microsoft.com/office/drawing/2014/main" id="{29655D7F-E64D-7103-2A94-FA7D514A8EF0}"/>
            </a:ext>
          </a:extLst>
        </xdr:cNvPr>
        <xdr:cNvSpPr/>
      </xdr:nvSpPr>
      <xdr:spPr>
        <a:xfrm>
          <a:off x="24008556" y="471056"/>
          <a:ext cx="1328057" cy="152400"/>
        </a:xfrm>
        <a:prstGeom prst="triangle">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5</xdr:col>
      <xdr:colOff>419100</xdr:colOff>
      <xdr:row>0</xdr:row>
      <xdr:rowOff>0</xdr:rowOff>
    </xdr:from>
    <xdr:to>
      <xdr:col>37</xdr:col>
      <xdr:colOff>441158</xdr:colOff>
      <xdr:row>4</xdr:row>
      <xdr:rowOff>63501</xdr:rowOff>
    </xdr:to>
    <xdr:sp macro="" textlink="">
      <xdr:nvSpPr>
        <xdr:cNvPr id="25" name="TextBox 24">
          <a:extLst>
            <a:ext uri="{FF2B5EF4-FFF2-40B4-BE49-F238E27FC236}">
              <a16:creationId xmlns:a16="http://schemas.microsoft.com/office/drawing/2014/main" id="{3763C6C1-E112-9369-6E04-390CC0CD2C16}"/>
            </a:ext>
          </a:extLst>
        </xdr:cNvPr>
        <xdr:cNvSpPr txBox="1"/>
      </xdr:nvSpPr>
      <xdr:spPr>
        <a:xfrm>
          <a:off x="2945732" y="0"/>
          <a:ext cx="19272584" cy="785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4800" b="1">
              <a:solidFill>
                <a:schemeClr val="bg1"/>
              </a:solidFill>
            </a:rPr>
            <a:t>Brackenfield Hardware &amp; Supply Co. : </a:t>
          </a:r>
          <a:r>
            <a:rPr lang="en-ZA" sz="4800" b="1">
              <a:solidFill>
                <a:schemeClr val="accent4"/>
              </a:solidFill>
            </a:rPr>
            <a:t>Sales Distribution Dashboard</a:t>
          </a:r>
        </a:p>
      </xdr:txBody>
    </xdr:sp>
    <xdr:clientData/>
  </xdr:twoCellAnchor>
  <xdr:twoCellAnchor editAs="oneCell">
    <xdr:from>
      <xdr:col>4</xdr:col>
      <xdr:colOff>147919</xdr:colOff>
      <xdr:row>0</xdr:row>
      <xdr:rowOff>80684</xdr:rowOff>
    </xdr:from>
    <xdr:to>
      <xdr:col>5</xdr:col>
      <xdr:colOff>125800</xdr:colOff>
      <xdr:row>3</xdr:row>
      <xdr:rowOff>134471</xdr:rowOff>
    </xdr:to>
    <xdr:pic>
      <xdr:nvPicPr>
        <xdr:cNvPr id="39" name="Graphic 38">
          <a:extLst>
            <a:ext uri="{FF2B5EF4-FFF2-40B4-BE49-F238E27FC236}">
              <a16:creationId xmlns:a16="http://schemas.microsoft.com/office/drawing/2014/main" id="{27A7672D-EAA7-1A6B-8BCC-5ABCAA6891A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02225" y="80684"/>
          <a:ext cx="587481" cy="591669"/>
        </a:xfrm>
        <a:prstGeom prst="rect">
          <a:avLst/>
        </a:prstGeom>
      </xdr:spPr>
    </xdr:pic>
    <xdr:clientData/>
  </xdr:twoCellAnchor>
  <xdr:twoCellAnchor>
    <xdr:from>
      <xdr:col>22</xdr:col>
      <xdr:colOff>253800</xdr:colOff>
      <xdr:row>27</xdr:row>
      <xdr:rowOff>60960</xdr:rowOff>
    </xdr:from>
    <xdr:to>
      <xdr:col>29</xdr:col>
      <xdr:colOff>396240</xdr:colOff>
      <xdr:row>30</xdr:row>
      <xdr:rowOff>174250</xdr:rowOff>
    </xdr:to>
    <xdr:sp macro="" textlink="">
      <xdr:nvSpPr>
        <xdr:cNvPr id="40" name="TextBox 39">
          <a:extLst>
            <a:ext uri="{FF2B5EF4-FFF2-40B4-BE49-F238E27FC236}">
              <a16:creationId xmlns:a16="http://schemas.microsoft.com/office/drawing/2014/main" id="{437914FB-E9FF-4B7F-806B-31BAB421E8D5}"/>
            </a:ext>
          </a:extLst>
        </xdr:cNvPr>
        <xdr:cNvSpPr txBox="1"/>
      </xdr:nvSpPr>
      <xdr:spPr>
        <a:xfrm>
          <a:off x="13177320" y="4998720"/>
          <a:ext cx="4409640" cy="661930"/>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Region</a:t>
          </a:r>
          <a:endParaRPr lang="en-ZA" sz="1100"/>
        </a:p>
      </xdr:txBody>
    </xdr:sp>
    <xdr:clientData/>
  </xdr:twoCellAnchor>
  <xdr:twoCellAnchor>
    <xdr:from>
      <xdr:col>54</xdr:col>
      <xdr:colOff>519792</xdr:colOff>
      <xdr:row>43</xdr:row>
      <xdr:rowOff>152401</xdr:rowOff>
    </xdr:from>
    <xdr:to>
      <xdr:col>60</xdr:col>
      <xdr:colOff>345621</xdr:colOff>
      <xdr:row>46</xdr:row>
      <xdr:rowOff>136072</xdr:rowOff>
    </xdr:to>
    <xdr:sp macro="" textlink="$BJ$17">
      <xdr:nvSpPr>
        <xdr:cNvPr id="38" name="TextBox 37">
          <a:extLst>
            <a:ext uri="{FF2B5EF4-FFF2-40B4-BE49-F238E27FC236}">
              <a16:creationId xmlns:a16="http://schemas.microsoft.com/office/drawing/2014/main" id="{07E52C92-2443-DDD7-8D99-7C5C73BD724D}"/>
            </a:ext>
          </a:extLst>
        </xdr:cNvPr>
        <xdr:cNvSpPr txBox="1"/>
      </xdr:nvSpPr>
      <xdr:spPr>
        <a:xfrm>
          <a:off x="32961942" y="8343901"/>
          <a:ext cx="1654629" cy="555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3200" b="1">
            <a:solidFill>
              <a:schemeClr val="bg1"/>
            </a:solidFill>
          </a:endParaRPr>
        </a:p>
      </xdr:txBody>
    </xdr:sp>
    <xdr:clientData/>
  </xdr:twoCellAnchor>
  <xdr:twoCellAnchor>
    <xdr:from>
      <xdr:col>18</xdr:col>
      <xdr:colOff>191852</xdr:colOff>
      <xdr:row>13</xdr:row>
      <xdr:rowOff>142984</xdr:rowOff>
    </xdr:from>
    <xdr:to>
      <xdr:col>22</xdr:col>
      <xdr:colOff>20402</xdr:colOff>
      <xdr:row>18</xdr:row>
      <xdr:rowOff>142984</xdr:rowOff>
    </xdr:to>
    <xdr:sp macro="" textlink="$BJ$24">
      <xdr:nvSpPr>
        <xdr:cNvPr id="48" name="TextBox 47">
          <a:extLst>
            <a:ext uri="{FF2B5EF4-FFF2-40B4-BE49-F238E27FC236}">
              <a16:creationId xmlns:a16="http://schemas.microsoft.com/office/drawing/2014/main" id="{871B96CD-F6EB-165B-8A58-A1250190BF06}"/>
            </a:ext>
          </a:extLst>
        </xdr:cNvPr>
        <xdr:cNvSpPr txBox="1"/>
      </xdr:nvSpPr>
      <xdr:spPr>
        <a:xfrm>
          <a:off x="10743895" y="2511810"/>
          <a:ext cx="2280203" cy="911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633AA3-ED6C-4CCB-8D0D-B17C2F45E319}" type="TxLink">
            <a:rPr lang="en-US" sz="3600" b="1" i="0" u="none" strike="noStrike">
              <a:solidFill>
                <a:schemeClr val="bg1"/>
              </a:solidFill>
              <a:latin typeface="Calibri"/>
              <a:ea typeface="Calibri"/>
              <a:cs typeface="Calibri"/>
            </a:rPr>
            <a:pPr/>
            <a:t>R18,576.81</a:t>
          </a:fld>
          <a:endParaRPr lang="en-ZA" sz="3600" b="1">
            <a:solidFill>
              <a:schemeClr val="bg1"/>
            </a:solidFill>
          </a:endParaRPr>
        </a:p>
      </xdr:txBody>
    </xdr:sp>
    <xdr:clientData/>
  </xdr:twoCellAnchor>
  <xdr:twoCellAnchor>
    <xdr:from>
      <xdr:col>7</xdr:col>
      <xdr:colOff>209550</xdr:colOff>
      <xdr:row>13</xdr:row>
      <xdr:rowOff>57150</xdr:rowOff>
    </xdr:from>
    <xdr:to>
      <xdr:col>8</xdr:col>
      <xdr:colOff>533400</xdr:colOff>
      <xdr:row>16</xdr:row>
      <xdr:rowOff>19050</xdr:rowOff>
    </xdr:to>
    <xdr:sp macro="" textlink="$BJ$17">
      <xdr:nvSpPr>
        <xdr:cNvPr id="50" name="TextBox 49">
          <a:extLst>
            <a:ext uri="{FF2B5EF4-FFF2-40B4-BE49-F238E27FC236}">
              <a16:creationId xmlns:a16="http://schemas.microsoft.com/office/drawing/2014/main" id="{AF7E4820-AE74-3133-6A5D-468B1765B7F0}"/>
            </a:ext>
          </a:extLst>
        </xdr:cNvPr>
        <xdr:cNvSpPr txBox="1"/>
      </xdr:nvSpPr>
      <xdr:spPr>
        <a:xfrm>
          <a:off x="4000500" y="2533650"/>
          <a:ext cx="9334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F20EC2-7EB7-4CE1-93D8-BA6B31B2BD3E}" type="TxLink">
            <a:rPr lang="en-US" sz="3600" b="1" i="0" u="none" strike="noStrike">
              <a:solidFill>
                <a:srgbClr val="FFFFFF"/>
              </a:solidFill>
              <a:latin typeface="Calibri"/>
              <a:ea typeface="Calibri"/>
              <a:cs typeface="Calibri"/>
            </a:rPr>
            <a:pPr/>
            <a:t>40</a:t>
          </a:fld>
          <a:endParaRPr lang="en-ZA" sz="8800" b="1">
            <a:solidFill>
              <a:schemeClr val="bg1"/>
            </a:solidFill>
          </a:endParaRPr>
        </a:p>
      </xdr:txBody>
    </xdr:sp>
    <xdr:clientData/>
  </xdr:twoCellAnchor>
  <xdr:twoCellAnchor>
    <xdr:from>
      <xdr:col>10</xdr:col>
      <xdr:colOff>280737</xdr:colOff>
      <xdr:row>8</xdr:row>
      <xdr:rowOff>20594</xdr:rowOff>
    </xdr:from>
    <xdr:to>
      <xdr:col>16</xdr:col>
      <xdr:colOff>139700</xdr:colOff>
      <xdr:row>11</xdr:row>
      <xdr:rowOff>89334</xdr:rowOff>
    </xdr:to>
    <xdr:sp macro="" textlink="">
      <xdr:nvSpPr>
        <xdr:cNvPr id="53" name="TextBox 52">
          <a:extLst>
            <a:ext uri="{FF2B5EF4-FFF2-40B4-BE49-F238E27FC236}">
              <a16:creationId xmlns:a16="http://schemas.microsoft.com/office/drawing/2014/main" id="{D9BFD630-5AD3-4341-B32C-7DD674F638D7}"/>
            </a:ext>
          </a:extLst>
        </xdr:cNvPr>
        <xdr:cNvSpPr txBox="1"/>
      </xdr:nvSpPr>
      <xdr:spPr>
        <a:xfrm>
          <a:off x="5964845" y="1503405"/>
          <a:ext cx="3565990" cy="624794"/>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Total Sales</a:t>
          </a:r>
        </a:p>
      </xdr:txBody>
    </xdr:sp>
    <xdr:clientData/>
  </xdr:twoCellAnchor>
  <xdr:twoCellAnchor>
    <xdr:from>
      <xdr:col>16</xdr:col>
      <xdr:colOff>364438</xdr:colOff>
      <xdr:row>8</xdr:row>
      <xdr:rowOff>2</xdr:rowOff>
    </xdr:from>
    <xdr:to>
      <xdr:col>22</xdr:col>
      <xdr:colOff>16567</xdr:colOff>
      <xdr:row>13</xdr:row>
      <xdr:rowOff>136769</xdr:rowOff>
    </xdr:to>
    <xdr:sp macro="" textlink="">
      <xdr:nvSpPr>
        <xdr:cNvPr id="55" name="TextBox 54">
          <a:extLst>
            <a:ext uri="{FF2B5EF4-FFF2-40B4-BE49-F238E27FC236}">
              <a16:creationId xmlns:a16="http://schemas.microsoft.com/office/drawing/2014/main" id="{93E64281-F25E-4B96-9C3D-AEEFCFEFB0D7}"/>
            </a:ext>
          </a:extLst>
        </xdr:cNvPr>
        <xdr:cNvSpPr txBox="1"/>
      </xdr:nvSpPr>
      <xdr:spPr>
        <a:xfrm>
          <a:off x="9586592" y="1406771"/>
          <a:ext cx="3286283" cy="1015998"/>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Average</a:t>
          </a:r>
          <a:r>
            <a:rPr lang="en-ZA" sz="2800" b="1" baseline="0">
              <a:solidFill>
                <a:schemeClr val="accent4"/>
              </a:solidFill>
            </a:rPr>
            <a:t> Revenue Per Customer</a:t>
          </a:r>
        </a:p>
        <a:p>
          <a:pPr algn="ctr"/>
          <a:endParaRPr lang="en-ZA" sz="2800" b="1">
            <a:solidFill>
              <a:schemeClr val="accent4"/>
            </a:solidFill>
          </a:endParaRPr>
        </a:p>
      </xdr:txBody>
    </xdr:sp>
    <xdr:clientData/>
  </xdr:twoCellAnchor>
  <xdr:twoCellAnchor>
    <xdr:from>
      <xdr:col>39</xdr:col>
      <xdr:colOff>10331</xdr:colOff>
      <xdr:row>48</xdr:row>
      <xdr:rowOff>161015</xdr:rowOff>
    </xdr:from>
    <xdr:to>
      <xdr:col>56</xdr:col>
      <xdr:colOff>10330</xdr:colOff>
      <xdr:row>71</xdr:row>
      <xdr:rowOff>82377</xdr:rowOff>
    </xdr:to>
    <xdr:graphicFrame macro="">
      <xdr:nvGraphicFramePr>
        <xdr:cNvPr id="56" name="Chart 55">
          <a:extLst>
            <a:ext uri="{FF2B5EF4-FFF2-40B4-BE49-F238E27FC236}">
              <a16:creationId xmlns:a16="http://schemas.microsoft.com/office/drawing/2014/main" id="{E7A19A55-4321-4D9F-DBBE-D47F569D3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403860</xdr:colOff>
      <xdr:row>43</xdr:row>
      <xdr:rowOff>101485</xdr:rowOff>
    </xdr:from>
    <xdr:to>
      <xdr:col>53</xdr:col>
      <xdr:colOff>175260</xdr:colOff>
      <xdr:row>46</xdr:row>
      <xdr:rowOff>82435</xdr:rowOff>
    </xdr:to>
    <xdr:sp macro="" textlink="">
      <xdr:nvSpPr>
        <xdr:cNvPr id="57" name="TextBox 56">
          <a:extLst>
            <a:ext uri="{FF2B5EF4-FFF2-40B4-BE49-F238E27FC236}">
              <a16:creationId xmlns:a16="http://schemas.microsoft.com/office/drawing/2014/main" id="{BEAB5258-CC35-7B19-2F68-E594BD9500AB}"/>
            </a:ext>
          </a:extLst>
        </xdr:cNvPr>
        <xdr:cNvSpPr txBox="1"/>
      </xdr:nvSpPr>
      <xdr:spPr>
        <a:xfrm>
          <a:off x="24311610" y="8292985"/>
          <a:ext cx="7696200" cy="552450"/>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Sales</a:t>
          </a:r>
          <a:r>
            <a:rPr lang="en-ZA" sz="2800" b="1" baseline="0">
              <a:solidFill>
                <a:schemeClr val="accent4"/>
              </a:solidFill>
            </a:rPr>
            <a:t> by Week</a:t>
          </a:r>
          <a:endParaRPr lang="en-ZA" sz="2800" b="1">
            <a:solidFill>
              <a:schemeClr val="accent4"/>
            </a:solidFill>
          </a:endParaRPr>
        </a:p>
      </xdr:txBody>
    </xdr:sp>
    <xdr:clientData/>
  </xdr:twoCellAnchor>
  <xdr:twoCellAnchor>
    <xdr:from>
      <xdr:col>0</xdr:col>
      <xdr:colOff>0</xdr:colOff>
      <xdr:row>47</xdr:row>
      <xdr:rowOff>106681</xdr:rowOff>
    </xdr:from>
    <xdr:to>
      <xdr:col>28</xdr:col>
      <xdr:colOff>152400</xdr:colOff>
      <xdr:row>72</xdr:row>
      <xdr:rowOff>39077</xdr:rowOff>
    </xdr:to>
    <xdr:sp macro="" textlink="">
      <xdr:nvSpPr>
        <xdr:cNvPr id="3" name="Rectangle: Rounded Corners 4">
          <a:extLst>
            <a:ext uri="{FF2B5EF4-FFF2-40B4-BE49-F238E27FC236}">
              <a16:creationId xmlns:a16="http://schemas.microsoft.com/office/drawing/2014/main" id="{42C6C9CA-3927-4008-A505-DB2F97F29218}"/>
            </a:ext>
          </a:extLst>
        </xdr:cNvPr>
        <xdr:cNvSpPr/>
      </xdr:nvSpPr>
      <xdr:spPr>
        <a:xfrm>
          <a:off x="0" y="8371450"/>
          <a:ext cx="16642862" cy="4328550"/>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xdr:col>
      <xdr:colOff>102973</xdr:colOff>
      <xdr:row>48</xdr:row>
      <xdr:rowOff>41189</xdr:rowOff>
    </xdr:from>
    <xdr:to>
      <xdr:col>27</xdr:col>
      <xdr:colOff>597244</xdr:colOff>
      <xdr:row>50</xdr:row>
      <xdr:rowOff>118830</xdr:rowOff>
    </xdr:to>
    <xdr:sp macro="" textlink="">
      <xdr:nvSpPr>
        <xdr:cNvPr id="47" name="TextBox 46">
          <a:extLst>
            <a:ext uri="{FF2B5EF4-FFF2-40B4-BE49-F238E27FC236}">
              <a16:creationId xmlns:a16="http://schemas.microsoft.com/office/drawing/2014/main" id="{6D261FBA-1953-A3B2-267A-D51C55D4DF3A}"/>
            </a:ext>
          </a:extLst>
        </xdr:cNvPr>
        <xdr:cNvSpPr txBox="1"/>
      </xdr:nvSpPr>
      <xdr:spPr>
        <a:xfrm>
          <a:off x="226541" y="8938054"/>
          <a:ext cx="16558054" cy="4483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t>Key Insights</a:t>
          </a:r>
        </a:p>
        <a:p>
          <a:endParaRPr lang="en-ZA" sz="2000" b="1"/>
        </a:p>
        <a:p>
          <a:endParaRPr lang="en-ZA" sz="2000" b="1"/>
        </a:p>
        <a:p>
          <a:endParaRPr lang="en-ZA" sz="2000" b="1"/>
        </a:p>
      </xdr:txBody>
    </xdr:sp>
    <xdr:clientData/>
  </xdr:twoCellAnchor>
  <xdr:twoCellAnchor>
    <xdr:from>
      <xdr:col>28</xdr:col>
      <xdr:colOff>308919</xdr:colOff>
      <xdr:row>47</xdr:row>
      <xdr:rowOff>94529</xdr:rowOff>
    </xdr:from>
    <xdr:to>
      <xdr:col>38</xdr:col>
      <xdr:colOff>312615</xdr:colOff>
      <xdr:row>72</xdr:row>
      <xdr:rowOff>19539</xdr:rowOff>
    </xdr:to>
    <xdr:sp macro="" textlink="">
      <xdr:nvSpPr>
        <xdr:cNvPr id="46" name="Rectangle: Rounded Corners 4">
          <a:extLst>
            <a:ext uri="{FF2B5EF4-FFF2-40B4-BE49-F238E27FC236}">
              <a16:creationId xmlns:a16="http://schemas.microsoft.com/office/drawing/2014/main" id="{0449763F-F598-4AAE-9755-B5D1C2446F58}"/>
            </a:ext>
          </a:extLst>
        </xdr:cNvPr>
        <xdr:cNvSpPr/>
      </xdr:nvSpPr>
      <xdr:spPr>
        <a:xfrm>
          <a:off x="16799381" y="8359298"/>
          <a:ext cx="6060619" cy="4321164"/>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5</xdr:col>
      <xdr:colOff>228600</xdr:colOff>
      <xdr:row>21</xdr:row>
      <xdr:rowOff>0</xdr:rowOff>
    </xdr:from>
    <xdr:to>
      <xdr:col>21</xdr:col>
      <xdr:colOff>400050</xdr:colOff>
      <xdr:row>45</xdr:row>
      <xdr:rowOff>123567</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B9F0A0D6-440D-45FA-AC61-A27E37DCFB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796540" y="3840480"/>
              <a:ext cx="9925050" cy="4512687"/>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353506</xdr:colOff>
      <xdr:row>7</xdr:row>
      <xdr:rowOff>176187</xdr:rowOff>
    </xdr:from>
    <xdr:to>
      <xdr:col>37</xdr:col>
      <xdr:colOff>505906</xdr:colOff>
      <xdr:row>11</xdr:row>
      <xdr:rowOff>61784</xdr:rowOff>
    </xdr:to>
    <xdr:sp macro="" textlink="">
      <xdr:nvSpPr>
        <xdr:cNvPr id="12" name="TextBox 11">
          <a:extLst>
            <a:ext uri="{FF2B5EF4-FFF2-40B4-BE49-F238E27FC236}">
              <a16:creationId xmlns:a16="http://schemas.microsoft.com/office/drawing/2014/main" id="{172DCB25-9E11-F53A-F6E8-34C2BCC163E9}"/>
            </a:ext>
          </a:extLst>
        </xdr:cNvPr>
        <xdr:cNvSpPr txBox="1"/>
      </xdr:nvSpPr>
      <xdr:spPr>
        <a:xfrm>
          <a:off x="18394371" y="1473646"/>
          <a:ext cx="4477265" cy="627003"/>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Top 10 Products</a:t>
          </a:r>
        </a:p>
        <a:p>
          <a:endParaRPr lang="en-ZA" sz="1100"/>
        </a:p>
      </xdr:txBody>
    </xdr:sp>
    <xdr:clientData/>
  </xdr:twoCellAnchor>
  <xdr:twoCellAnchor>
    <xdr:from>
      <xdr:col>5</xdr:col>
      <xdr:colOff>240632</xdr:colOff>
      <xdr:row>17</xdr:row>
      <xdr:rowOff>171450</xdr:rowOff>
    </xdr:from>
    <xdr:to>
      <xdr:col>22</xdr:col>
      <xdr:colOff>20052</xdr:colOff>
      <xdr:row>21</xdr:row>
      <xdr:rowOff>100264</xdr:rowOff>
    </xdr:to>
    <xdr:sp macro="" textlink="">
      <xdr:nvSpPr>
        <xdr:cNvPr id="59" name="TextBox 58">
          <a:extLst>
            <a:ext uri="{FF2B5EF4-FFF2-40B4-BE49-F238E27FC236}">
              <a16:creationId xmlns:a16="http://schemas.microsoft.com/office/drawing/2014/main" id="{0B7DA355-FA26-485C-81AA-BEFABA231854}"/>
            </a:ext>
          </a:extLst>
        </xdr:cNvPr>
        <xdr:cNvSpPr txBox="1"/>
      </xdr:nvSpPr>
      <xdr:spPr>
        <a:xfrm>
          <a:off x="2767264" y="3239503"/>
          <a:ext cx="10006262" cy="650708"/>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Countries</a:t>
          </a:r>
          <a:r>
            <a:rPr lang="en-ZA" sz="2800" b="1" baseline="0">
              <a:solidFill>
                <a:schemeClr val="accent4"/>
              </a:solidFill>
            </a:rPr>
            <a:t> R</a:t>
          </a:r>
          <a:r>
            <a:rPr lang="en-ZA" sz="2800" b="1">
              <a:solidFill>
                <a:schemeClr val="accent4"/>
              </a:solidFill>
            </a:rPr>
            <a:t>anked by Sales</a:t>
          </a:r>
        </a:p>
      </xdr:txBody>
    </xdr:sp>
    <xdr:clientData/>
  </xdr:twoCellAnchor>
  <xdr:twoCellAnchor>
    <xdr:from>
      <xdr:col>28</xdr:col>
      <xdr:colOff>473676</xdr:colOff>
      <xdr:row>48</xdr:row>
      <xdr:rowOff>41189</xdr:rowOff>
    </xdr:from>
    <xdr:to>
      <xdr:col>38</xdr:col>
      <xdr:colOff>123568</xdr:colOff>
      <xdr:row>50</xdr:row>
      <xdr:rowOff>164756</xdr:rowOff>
    </xdr:to>
    <xdr:sp macro="" textlink="">
      <xdr:nvSpPr>
        <xdr:cNvPr id="60" name="TextBox 59">
          <a:extLst>
            <a:ext uri="{FF2B5EF4-FFF2-40B4-BE49-F238E27FC236}">
              <a16:creationId xmlns:a16="http://schemas.microsoft.com/office/drawing/2014/main" id="{8C1592C6-DA83-471B-8557-D82DB9993305}"/>
            </a:ext>
          </a:extLst>
        </xdr:cNvPr>
        <xdr:cNvSpPr txBox="1"/>
      </xdr:nvSpPr>
      <xdr:spPr>
        <a:xfrm>
          <a:off x="17278865" y="8938054"/>
          <a:ext cx="5828271" cy="49427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tx1"/>
              </a:solidFill>
            </a:rPr>
            <a:t>Action Items</a:t>
          </a:r>
        </a:p>
        <a:p>
          <a:pPr algn="ctr"/>
          <a:endParaRPr lang="en-ZA" sz="2800" b="1">
            <a:solidFill>
              <a:schemeClr val="accent4"/>
            </a:solidFill>
          </a:endParaRPr>
        </a:p>
        <a:p>
          <a:endParaRPr lang="en-ZA" sz="1100"/>
        </a:p>
      </xdr:txBody>
    </xdr:sp>
    <xdr:clientData/>
  </xdr:twoCellAnchor>
  <xdr:twoCellAnchor editAs="oneCell">
    <xdr:from>
      <xdr:col>41</xdr:col>
      <xdr:colOff>240631</xdr:colOff>
      <xdr:row>9</xdr:row>
      <xdr:rowOff>100263</xdr:rowOff>
    </xdr:from>
    <xdr:to>
      <xdr:col>42</xdr:col>
      <xdr:colOff>140367</xdr:colOff>
      <xdr:row>12</xdr:row>
      <xdr:rowOff>60157</xdr:rowOff>
    </xdr:to>
    <xdr:pic>
      <xdr:nvPicPr>
        <xdr:cNvPr id="24" name="Graphic 23">
          <a:extLst>
            <a:ext uri="{FF2B5EF4-FFF2-40B4-BE49-F238E27FC236}">
              <a16:creationId xmlns:a16="http://schemas.microsoft.com/office/drawing/2014/main" id="{23DEEB63-417E-6C89-99DF-23674630F8A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4424105" y="1724526"/>
          <a:ext cx="501315" cy="501315"/>
        </a:xfrm>
        <a:prstGeom prst="rect">
          <a:avLst/>
        </a:prstGeom>
      </xdr:spPr>
    </xdr:pic>
    <xdr:clientData/>
  </xdr:twoCellAnchor>
  <xdr:twoCellAnchor editAs="oneCell">
    <xdr:from>
      <xdr:col>10</xdr:col>
      <xdr:colOff>360949</xdr:colOff>
      <xdr:row>13</xdr:row>
      <xdr:rowOff>68175</xdr:rowOff>
    </xdr:from>
    <xdr:to>
      <xdr:col>11</xdr:col>
      <xdr:colOff>260686</xdr:colOff>
      <xdr:row>16</xdr:row>
      <xdr:rowOff>28070</xdr:rowOff>
    </xdr:to>
    <xdr:pic>
      <xdr:nvPicPr>
        <xdr:cNvPr id="83" name="Graphic 82">
          <a:extLst>
            <a:ext uri="{FF2B5EF4-FFF2-40B4-BE49-F238E27FC236}">
              <a16:creationId xmlns:a16="http://schemas.microsoft.com/office/drawing/2014/main" id="{00194ADD-5EE3-09D0-FF38-761D74EECFB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895475" y="2414333"/>
          <a:ext cx="501316" cy="501316"/>
        </a:xfrm>
        <a:prstGeom prst="rect">
          <a:avLst/>
        </a:prstGeom>
      </xdr:spPr>
    </xdr:pic>
    <xdr:clientData/>
  </xdr:twoCellAnchor>
  <xdr:twoCellAnchor editAs="oneCell">
    <xdr:from>
      <xdr:col>22</xdr:col>
      <xdr:colOff>561476</xdr:colOff>
      <xdr:row>27</xdr:row>
      <xdr:rowOff>140369</xdr:rowOff>
    </xdr:from>
    <xdr:to>
      <xdr:col>23</xdr:col>
      <xdr:colOff>465221</xdr:colOff>
      <xdr:row>30</xdr:row>
      <xdr:rowOff>104271</xdr:rowOff>
    </xdr:to>
    <xdr:pic>
      <xdr:nvPicPr>
        <xdr:cNvPr id="85" name="Graphic 84">
          <a:extLst>
            <a:ext uri="{FF2B5EF4-FFF2-40B4-BE49-F238E27FC236}">
              <a16:creationId xmlns:a16="http://schemas.microsoft.com/office/drawing/2014/main" id="{64523965-303C-0A3B-E808-5BB7FCF9AC7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314950" y="5013158"/>
          <a:ext cx="505324" cy="505324"/>
        </a:xfrm>
        <a:prstGeom prst="rect">
          <a:avLst/>
        </a:prstGeom>
      </xdr:spPr>
    </xdr:pic>
    <xdr:clientData/>
  </xdr:twoCellAnchor>
  <xdr:twoCellAnchor editAs="oneCell">
    <xdr:from>
      <xdr:col>7</xdr:col>
      <xdr:colOff>240633</xdr:colOff>
      <xdr:row>18</xdr:row>
      <xdr:rowOff>60158</xdr:rowOff>
    </xdr:from>
    <xdr:to>
      <xdr:col>8</xdr:col>
      <xdr:colOff>168444</xdr:colOff>
      <xdr:row>21</xdr:row>
      <xdr:rowOff>48127</xdr:rowOff>
    </xdr:to>
    <xdr:pic>
      <xdr:nvPicPr>
        <xdr:cNvPr id="87" name="Graphic 86">
          <a:extLst>
            <a:ext uri="{FF2B5EF4-FFF2-40B4-BE49-F238E27FC236}">
              <a16:creationId xmlns:a16="http://schemas.microsoft.com/office/drawing/2014/main" id="{FB50D6A6-EE94-4C1C-A31D-46491978D7B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970422" y="3308684"/>
          <a:ext cx="529390" cy="529390"/>
        </a:xfrm>
        <a:prstGeom prst="rect">
          <a:avLst/>
        </a:prstGeom>
      </xdr:spPr>
    </xdr:pic>
    <xdr:clientData/>
  </xdr:twoCellAnchor>
  <xdr:twoCellAnchor editAs="oneCell">
    <xdr:from>
      <xdr:col>16</xdr:col>
      <xdr:colOff>546651</xdr:colOff>
      <xdr:row>13</xdr:row>
      <xdr:rowOff>132522</xdr:rowOff>
    </xdr:from>
    <xdr:to>
      <xdr:col>17</xdr:col>
      <xdr:colOff>517237</xdr:colOff>
      <xdr:row>17</xdr:row>
      <xdr:rowOff>375</xdr:rowOff>
    </xdr:to>
    <xdr:pic>
      <xdr:nvPicPr>
        <xdr:cNvPr id="89" name="Graphic 88">
          <a:extLst>
            <a:ext uri="{FF2B5EF4-FFF2-40B4-BE49-F238E27FC236}">
              <a16:creationId xmlns:a16="http://schemas.microsoft.com/office/drawing/2014/main" id="{0CD2556C-F681-E82F-3640-9C573877C68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872868" y="2501348"/>
          <a:ext cx="583499" cy="588676"/>
        </a:xfrm>
        <a:prstGeom prst="rect">
          <a:avLst/>
        </a:prstGeom>
      </xdr:spPr>
    </xdr:pic>
    <xdr:clientData/>
  </xdr:twoCellAnchor>
  <xdr:twoCellAnchor editAs="oneCell">
    <xdr:from>
      <xdr:col>41</xdr:col>
      <xdr:colOff>280736</xdr:colOff>
      <xdr:row>43</xdr:row>
      <xdr:rowOff>60159</xdr:rowOff>
    </xdr:from>
    <xdr:to>
      <xdr:col>42</xdr:col>
      <xdr:colOff>268705</xdr:colOff>
      <xdr:row>46</xdr:row>
      <xdr:rowOff>108286</xdr:rowOff>
    </xdr:to>
    <xdr:pic>
      <xdr:nvPicPr>
        <xdr:cNvPr id="95" name="Graphic 94">
          <a:extLst>
            <a:ext uri="{FF2B5EF4-FFF2-40B4-BE49-F238E27FC236}">
              <a16:creationId xmlns:a16="http://schemas.microsoft.com/office/drawing/2014/main" id="{EBE8827F-A002-250A-AF5B-B87559973D7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4464210" y="7820527"/>
          <a:ext cx="589548" cy="589548"/>
        </a:xfrm>
        <a:prstGeom prst="rect">
          <a:avLst/>
        </a:prstGeom>
      </xdr:spPr>
    </xdr:pic>
    <xdr:clientData/>
  </xdr:twoCellAnchor>
  <xdr:twoCellAnchor editAs="oneCell">
    <xdr:from>
      <xdr:col>5</xdr:col>
      <xdr:colOff>401054</xdr:colOff>
      <xdr:row>13</xdr:row>
      <xdr:rowOff>0</xdr:rowOff>
    </xdr:from>
    <xdr:to>
      <xdr:col>6</xdr:col>
      <xdr:colOff>381001</xdr:colOff>
      <xdr:row>16</xdr:row>
      <xdr:rowOff>40105</xdr:rowOff>
    </xdr:to>
    <xdr:pic>
      <xdr:nvPicPr>
        <xdr:cNvPr id="97" name="Graphic 96">
          <a:extLst>
            <a:ext uri="{FF2B5EF4-FFF2-40B4-BE49-F238E27FC236}">
              <a16:creationId xmlns:a16="http://schemas.microsoft.com/office/drawing/2014/main" id="{15120D08-8C15-1E51-2FF9-C9A24EB8D83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927686" y="2346158"/>
          <a:ext cx="581526" cy="581526"/>
        </a:xfrm>
        <a:prstGeom prst="rect">
          <a:avLst/>
        </a:prstGeom>
      </xdr:spPr>
    </xdr:pic>
    <xdr:clientData/>
  </xdr:twoCellAnchor>
  <xdr:twoCellAnchor>
    <xdr:from>
      <xdr:col>48</xdr:col>
      <xdr:colOff>332153</xdr:colOff>
      <xdr:row>0</xdr:row>
      <xdr:rowOff>156306</xdr:rowOff>
    </xdr:from>
    <xdr:to>
      <xdr:col>55</xdr:col>
      <xdr:colOff>230765</xdr:colOff>
      <xdr:row>2</xdr:row>
      <xdr:rowOff>156307</xdr:rowOff>
    </xdr:to>
    <xdr:sp macro="" textlink="">
      <xdr:nvSpPr>
        <xdr:cNvPr id="2" name="TextBox 1">
          <a:extLst>
            <a:ext uri="{FF2B5EF4-FFF2-40B4-BE49-F238E27FC236}">
              <a16:creationId xmlns:a16="http://schemas.microsoft.com/office/drawing/2014/main" id="{E745C451-AB2F-2BAA-643D-5F00F9AC1B8B}"/>
            </a:ext>
          </a:extLst>
        </xdr:cNvPr>
        <xdr:cNvSpPr txBox="1"/>
      </xdr:nvSpPr>
      <xdr:spPr>
        <a:xfrm>
          <a:off x="28936461" y="156306"/>
          <a:ext cx="4138458"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b="1"/>
            <a:t>Date Refreshed:</a:t>
          </a:r>
          <a:r>
            <a:rPr lang="en-ZA" sz="1600" b="1" baseline="0"/>
            <a:t> 24 September 2026</a:t>
          </a:r>
          <a:endParaRPr lang="en-ZA" sz="1600" b="1"/>
        </a:p>
      </xdr:txBody>
    </xdr:sp>
    <xdr:clientData/>
  </xdr:twoCellAnchor>
  <xdr:twoCellAnchor>
    <xdr:from>
      <xdr:col>0</xdr:col>
      <xdr:colOff>102972</xdr:colOff>
      <xdr:row>51</xdr:row>
      <xdr:rowOff>102973</xdr:rowOff>
    </xdr:from>
    <xdr:to>
      <xdr:col>18</xdr:col>
      <xdr:colOff>453080</xdr:colOff>
      <xdr:row>54</xdr:row>
      <xdr:rowOff>123568</xdr:rowOff>
    </xdr:to>
    <xdr:sp macro="" textlink="">
      <xdr:nvSpPr>
        <xdr:cNvPr id="22" name="TextBox 21">
          <a:extLst>
            <a:ext uri="{FF2B5EF4-FFF2-40B4-BE49-F238E27FC236}">
              <a16:creationId xmlns:a16="http://schemas.microsoft.com/office/drawing/2014/main" id="{8D1F297F-C324-391B-18D8-041A7AFEE601}"/>
            </a:ext>
          </a:extLst>
        </xdr:cNvPr>
        <xdr:cNvSpPr txBox="1"/>
      </xdr:nvSpPr>
      <xdr:spPr>
        <a:xfrm>
          <a:off x="102972" y="9555892"/>
          <a:ext cx="10976919" cy="576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1. The business missed its annual target by 8.8%.</a:t>
          </a:r>
        </a:p>
      </xdr:txBody>
    </xdr:sp>
    <xdr:clientData/>
  </xdr:twoCellAnchor>
  <xdr:twoCellAnchor>
    <xdr:from>
      <xdr:col>0</xdr:col>
      <xdr:colOff>82378</xdr:colOff>
      <xdr:row>59</xdr:row>
      <xdr:rowOff>168465</xdr:rowOff>
    </xdr:from>
    <xdr:to>
      <xdr:col>18</xdr:col>
      <xdr:colOff>432486</xdr:colOff>
      <xdr:row>63</xdr:row>
      <xdr:rowOff>3709</xdr:rowOff>
    </xdr:to>
    <xdr:sp macro="" textlink="">
      <xdr:nvSpPr>
        <xdr:cNvPr id="41" name="TextBox 40">
          <a:extLst>
            <a:ext uri="{FF2B5EF4-FFF2-40B4-BE49-F238E27FC236}">
              <a16:creationId xmlns:a16="http://schemas.microsoft.com/office/drawing/2014/main" id="{2EE8C097-FBE8-42B9-878F-C9C2EB8CD5A4}"/>
            </a:ext>
          </a:extLst>
        </xdr:cNvPr>
        <xdr:cNvSpPr txBox="1"/>
      </xdr:nvSpPr>
      <xdr:spPr>
        <a:xfrm>
          <a:off x="82378" y="11104195"/>
          <a:ext cx="10976919" cy="576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4. India alone drives 46% of total sales.</a:t>
          </a:r>
        </a:p>
      </xdr:txBody>
    </xdr:sp>
    <xdr:clientData/>
  </xdr:twoCellAnchor>
  <xdr:twoCellAnchor>
    <xdr:from>
      <xdr:col>0</xdr:col>
      <xdr:colOff>90617</xdr:colOff>
      <xdr:row>57</xdr:row>
      <xdr:rowOff>20594</xdr:rowOff>
    </xdr:from>
    <xdr:to>
      <xdr:col>27</xdr:col>
      <xdr:colOff>205947</xdr:colOff>
      <xdr:row>59</xdr:row>
      <xdr:rowOff>82378</xdr:rowOff>
    </xdr:to>
    <xdr:sp macro="" textlink="">
      <xdr:nvSpPr>
        <xdr:cNvPr id="51" name="TextBox 50">
          <a:extLst>
            <a:ext uri="{FF2B5EF4-FFF2-40B4-BE49-F238E27FC236}">
              <a16:creationId xmlns:a16="http://schemas.microsoft.com/office/drawing/2014/main" id="{95ABA648-9421-44E6-BF27-88103B89A76B}"/>
            </a:ext>
          </a:extLst>
        </xdr:cNvPr>
        <xdr:cNvSpPr txBox="1"/>
      </xdr:nvSpPr>
      <xdr:spPr>
        <a:xfrm>
          <a:off x="90617" y="10585621"/>
          <a:ext cx="16302681" cy="432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3. Export accounts for R531,575.62, or 54% of total revenue</a:t>
          </a:r>
          <a:r>
            <a:rPr lang="en-ZA" sz="1800" b="1" baseline="0">
              <a:solidFill>
                <a:schemeClr val="bg1"/>
              </a:solidFill>
            </a:rPr>
            <a:t> which</a:t>
          </a:r>
          <a:r>
            <a:rPr lang="en-ZA" sz="1800" b="1">
              <a:solidFill>
                <a:schemeClr val="bg1"/>
              </a:solidFill>
            </a:rPr>
            <a:t> more than every other region combined.</a:t>
          </a:r>
        </a:p>
      </xdr:txBody>
    </xdr:sp>
    <xdr:clientData/>
  </xdr:twoCellAnchor>
  <xdr:twoCellAnchor>
    <xdr:from>
      <xdr:col>0</xdr:col>
      <xdr:colOff>78259</xdr:colOff>
      <xdr:row>62</xdr:row>
      <xdr:rowOff>102974</xdr:rowOff>
    </xdr:from>
    <xdr:to>
      <xdr:col>28</xdr:col>
      <xdr:colOff>350107</xdr:colOff>
      <xdr:row>66</xdr:row>
      <xdr:rowOff>184943</xdr:rowOff>
    </xdr:to>
    <xdr:sp macro="" textlink="">
      <xdr:nvSpPr>
        <xdr:cNvPr id="52" name="TextBox 51">
          <a:extLst>
            <a:ext uri="{FF2B5EF4-FFF2-40B4-BE49-F238E27FC236}">
              <a16:creationId xmlns:a16="http://schemas.microsoft.com/office/drawing/2014/main" id="{69AFF893-1C88-4D4A-A039-AEBD64A051DC}"/>
            </a:ext>
          </a:extLst>
        </xdr:cNvPr>
        <xdr:cNvSpPr txBox="1"/>
      </xdr:nvSpPr>
      <xdr:spPr>
        <a:xfrm>
          <a:off x="78259" y="11594758"/>
          <a:ext cx="17077037" cy="82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5. Revenue is moderately concentrated in the top customers. 40 unique customers in total; the top 10 account for 41.6% of revenue. The single largest customer, Stonebridge Commercial, contributes R60,929 (6.2% of total).</a:t>
          </a:r>
        </a:p>
      </xdr:txBody>
    </xdr:sp>
    <xdr:clientData/>
  </xdr:twoCellAnchor>
  <xdr:twoCellAnchor>
    <xdr:from>
      <xdr:col>0</xdr:col>
      <xdr:colOff>107093</xdr:colOff>
      <xdr:row>54</xdr:row>
      <xdr:rowOff>28423</xdr:rowOff>
    </xdr:from>
    <xdr:to>
      <xdr:col>18</xdr:col>
      <xdr:colOff>457201</xdr:colOff>
      <xdr:row>57</xdr:row>
      <xdr:rowOff>49018</xdr:rowOff>
    </xdr:to>
    <xdr:sp macro="" textlink="">
      <xdr:nvSpPr>
        <xdr:cNvPr id="61" name="TextBox 60">
          <a:extLst>
            <a:ext uri="{FF2B5EF4-FFF2-40B4-BE49-F238E27FC236}">
              <a16:creationId xmlns:a16="http://schemas.microsoft.com/office/drawing/2014/main" id="{F0A10548-B41D-450F-933B-3B9A2D36EED1}"/>
            </a:ext>
          </a:extLst>
        </xdr:cNvPr>
        <xdr:cNvSpPr txBox="1"/>
      </xdr:nvSpPr>
      <xdr:spPr>
        <a:xfrm>
          <a:off x="107093" y="10037396"/>
          <a:ext cx="10976919" cy="576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2. April, May, and June all came in well under target, and things dipped again in August and September.</a:t>
          </a:r>
        </a:p>
      </xdr:txBody>
    </xdr:sp>
    <xdr:clientData/>
  </xdr:twoCellAnchor>
  <xdr:twoCellAnchor>
    <xdr:from>
      <xdr:col>2</xdr:col>
      <xdr:colOff>358346</xdr:colOff>
      <xdr:row>70</xdr:row>
      <xdr:rowOff>156108</xdr:rowOff>
    </xdr:from>
    <xdr:to>
      <xdr:col>20</xdr:col>
      <xdr:colOff>214184</xdr:colOff>
      <xdr:row>73</xdr:row>
      <xdr:rowOff>176703</xdr:rowOff>
    </xdr:to>
    <xdr:sp macro="" textlink="">
      <xdr:nvSpPr>
        <xdr:cNvPr id="62" name="TextBox 61">
          <a:extLst>
            <a:ext uri="{FF2B5EF4-FFF2-40B4-BE49-F238E27FC236}">
              <a16:creationId xmlns:a16="http://schemas.microsoft.com/office/drawing/2014/main" id="{364A084D-D232-4F16-A375-81700AC6D98B}"/>
            </a:ext>
          </a:extLst>
        </xdr:cNvPr>
        <xdr:cNvSpPr txBox="1"/>
      </xdr:nvSpPr>
      <xdr:spPr>
        <a:xfrm>
          <a:off x="1099751" y="13130703"/>
          <a:ext cx="10976919" cy="576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1800" b="1">
            <a:solidFill>
              <a:schemeClr val="bg1"/>
            </a:solidFill>
          </a:endParaRPr>
        </a:p>
      </xdr:txBody>
    </xdr:sp>
    <xdr:clientData/>
  </xdr:twoCellAnchor>
  <xdr:twoCellAnchor>
    <xdr:from>
      <xdr:col>0</xdr:col>
      <xdr:colOff>16475</xdr:colOff>
      <xdr:row>67</xdr:row>
      <xdr:rowOff>102562</xdr:rowOff>
    </xdr:from>
    <xdr:to>
      <xdr:col>18</xdr:col>
      <xdr:colOff>366583</xdr:colOff>
      <xdr:row>70</xdr:row>
      <xdr:rowOff>123157</xdr:rowOff>
    </xdr:to>
    <xdr:sp macro="" textlink="">
      <xdr:nvSpPr>
        <xdr:cNvPr id="63" name="TextBox 62">
          <a:extLst>
            <a:ext uri="{FF2B5EF4-FFF2-40B4-BE49-F238E27FC236}">
              <a16:creationId xmlns:a16="http://schemas.microsoft.com/office/drawing/2014/main" id="{02C2DA7E-9A52-4CF3-ACC3-46B4FC8D04D3}"/>
            </a:ext>
          </a:extLst>
        </xdr:cNvPr>
        <xdr:cNvSpPr txBox="1"/>
      </xdr:nvSpPr>
      <xdr:spPr>
        <a:xfrm>
          <a:off x="16475" y="12521103"/>
          <a:ext cx="10976919" cy="576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1800" b="1">
            <a:solidFill>
              <a:schemeClr val="bg1"/>
            </a:solidFill>
          </a:endParaRPr>
        </a:p>
      </xdr:txBody>
    </xdr:sp>
    <xdr:clientData/>
  </xdr:twoCellAnchor>
  <xdr:twoCellAnchor>
    <xdr:from>
      <xdr:col>0</xdr:col>
      <xdr:colOff>86497</xdr:colOff>
      <xdr:row>66</xdr:row>
      <xdr:rowOff>82379</xdr:rowOff>
    </xdr:from>
    <xdr:to>
      <xdr:col>27</xdr:col>
      <xdr:colOff>453082</xdr:colOff>
      <xdr:row>70</xdr:row>
      <xdr:rowOff>172584</xdr:rowOff>
    </xdr:to>
    <xdr:sp macro="" textlink="">
      <xdr:nvSpPr>
        <xdr:cNvPr id="64" name="TextBox 63">
          <a:extLst>
            <a:ext uri="{FF2B5EF4-FFF2-40B4-BE49-F238E27FC236}">
              <a16:creationId xmlns:a16="http://schemas.microsoft.com/office/drawing/2014/main" id="{6A274840-E5C2-4635-A3F7-9C8B5AE28076}"/>
            </a:ext>
          </a:extLst>
        </xdr:cNvPr>
        <xdr:cNvSpPr txBox="1"/>
      </xdr:nvSpPr>
      <xdr:spPr>
        <a:xfrm>
          <a:off x="86497" y="12315568"/>
          <a:ext cx="16553936" cy="831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6. Door Latch Set and PVC Elbow 20mm are the standout products. Together they contribute approxiamately</a:t>
          </a:r>
          <a:r>
            <a:rPr lang="en-ZA" sz="1800" b="1" baseline="0">
              <a:solidFill>
                <a:schemeClr val="bg1"/>
              </a:solidFill>
            </a:rPr>
            <a:t> </a:t>
          </a:r>
          <a:r>
            <a:rPr lang="en-ZA" sz="1800" b="1">
              <a:solidFill>
                <a:schemeClr val="bg1"/>
              </a:solidFill>
            </a:rPr>
            <a:t>R115,500 (11.7% of total sales):</a:t>
          </a:r>
          <a:r>
            <a:rPr lang="en-ZA" sz="1800" b="1" baseline="0">
              <a:solidFill>
                <a:schemeClr val="bg1"/>
              </a:solidFill>
            </a:rPr>
            <a:t> </a:t>
          </a:r>
          <a:r>
            <a:rPr lang="en-ZA" sz="1800" b="1">
              <a:solidFill>
                <a:schemeClr val="bg1"/>
              </a:solidFill>
            </a:rPr>
            <a:t>meaningfully ahead of the rest of the Top 10, which cluster much closer together (R35K–R50K each).</a:t>
          </a:r>
        </a:p>
      </xdr:txBody>
    </xdr:sp>
    <xdr:clientData/>
  </xdr:twoCellAnchor>
  <xdr:twoCellAnchor>
    <xdr:from>
      <xdr:col>28</xdr:col>
      <xdr:colOff>350109</xdr:colOff>
      <xdr:row>51</xdr:row>
      <xdr:rowOff>115125</xdr:rowOff>
    </xdr:from>
    <xdr:to>
      <xdr:col>38</xdr:col>
      <xdr:colOff>102974</xdr:colOff>
      <xdr:row>56</xdr:row>
      <xdr:rowOff>20594</xdr:rowOff>
    </xdr:to>
    <xdr:sp macro="" textlink="">
      <xdr:nvSpPr>
        <xdr:cNvPr id="65" name="TextBox 64">
          <a:extLst>
            <a:ext uri="{FF2B5EF4-FFF2-40B4-BE49-F238E27FC236}">
              <a16:creationId xmlns:a16="http://schemas.microsoft.com/office/drawing/2014/main" id="{40A3C7C5-E501-43D3-83BA-23C5328EEC14}"/>
            </a:ext>
          </a:extLst>
        </xdr:cNvPr>
        <xdr:cNvSpPr txBox="1"/>
      </xdr:nvSpPr>
      <xdr:spPr>
        <a:xfrm>
          <a:off x="17155298" y="9568044"/>
          <a:ext cx="5931244" cy="832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1. Diagnose the April</a:t>
          </a:r>
          <a:r>
            <a:rPr lang="en-ZA" sz="1800" b="1" baseline="0">
              <a:solidFill>
                <a:schemeClr val="bg1"/>
              </a:solidFill>
            </a:rPr>
            <a:t> - </a:t>
          </a:r>
          <a:r>
            <a:rPr lang="en-ZA" sz="1800" b="1">
              <a:solidFill>
                <a:schemeClr val="bg1"/>
              </a:solidFill>
            </a:rPr>
            <a:t>September slump</a:t>
          </a:r>
          <a:r>
            <a:rPr lang="en-ZA" sz="1800" b="1" baseline="0">
              <a:solidFill>
                <a:schemeClr val="bg1"/>
              </a:solidFill>
            </a:rPr>
            <a:t> to determine reasons for target not being met</a:t>
          </a:r>
          <a:endParaRPr lang="en-ZA" sz="1800" b="1">
            <a:solidFill>
              <a:schemeClr val="bg1"/>
            </a:solidFill>
          </a:endParaRPr>
        </a:p>
      </xdr:txBody>
    </xdr:sp>
    <xdr:clientData/>
  </xdr:twoCellAnchor>
  <xdr:twoCellAnchor>
    <xdr:from>
      <xdr:col>28</xdr:col>
      <xdr:colOff>329514</xdr:colOff>
      <xdr:row>55</xdr:row>
      <xdr:rowOff>156314</xdr:rowOff>
    </xdr:from>
    <xdr:to>
      <xdr:col>38</xdr:col>
      <xdr:colOff>82379</xdr:colOff>
      <xdr:row>60</xdr:row>
      <xdr:rowOff>164757</xdr:rowOff>
    </xdr:to>
    <xdr:sp macro="" textlink="">
      <xdr:nvSpPr>
        <xdr:cNvPr id="66" name="TextBox 65">
          <a:extLst>
            <a:ext uri="{FF2B5EF4-FFF2-40B4-BE49-F238E27FC236}">
              <a16:creationId xmlns:a16="http://schemas.microsoft.com/office/drawing/2014/main" id="{FF47B6EB-AFC2-4412-8F5A-55A39CF7C1F5}"/>
            </a:ext>
          </a:extLst>
        </xdr:cNvPr>
        <xdr:cNvSpPr txBox="1"/>
      </xdr:nvSpPr>
      <xdr:spPr>
        <a:xfrm>
          <a:off x="17134703" y="10350638"/>
          <a:ext cx="5931244" cy="935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2. Reduce dependency on Export/India. A single region and a single country each account for roughly half of revenue. Any disruption there has outsized impact</a:t>
          </a:r>
        </a:p>
      </xdr:txBody>
    </xdr:sp>
    <xdr:clientData/>
  </xdr:twoCellAnchor>
  <xdr:twoCellAnchor>
    <xdr:from>
      <xdr:col>28</xdr:col>
      <xdr:colOff>308920</xdr:colOff>
      <xdr:row>61</xdr:row>
      <xdr:rowOff>32745</xdr:rowOff>
    </xdr:from>
    <xdr:to>
      <xdr:col>38</xdr:col>
      <xdr:colOff>61785</xdr:colOff>
      <xdr:row>65</xdr:row>
      <xdr:rowOff>41188</xdr:rowOff>
    </xdr:to>
    <xdr:sp macro="" textlink="">
      <xdr:nvSpPr>
        <xdr:cNvPr id="67" name="TextBox 66">
          <a:extLst>
            <a:ext uri="{FF2B5EF4-FFF2-40B4-BE49-F238E27FC236}">
              <a16:creationId xmlns:a16="http://schemas.microsoft.com/office/drawing/2014/main" id="{4247E419-D6D2-4364-9A81-16B6C7E1818E}"/>
            </a:ext>
          </a:extLst>
        </xdr:cNvPr>
        <xdr:cNvSpPr txBox="1"/>
      </xdr:nvSpPr>
      <xdr:spPr>
        <a:xfrm>
          <a:off x="17114109" y="11339177"/>
          <a:ext cx="5931244" cy="749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3.</a:t>
          </a:r>
          <a:r>
            <a:rPr lang="en-ZA" sz="1800" b="1" baseline="0">
              <a:solidFill>
                <a:schemeClr val="bg1"/>
              </a:solidFill>
            </a:rPr>
            <a:t> Assess</a:t>
          </a:r>
          <a:r>
            <a:rPr lang="en-ZA" sz="1800" b="1">
              <a:solidFill>
                <a:schemeClr val="bg1"/>
              </a:solidFill>
            </a:rPr>
            <a:t> low-frequency customers,</a:t>
          </a:r>
          <a:r>
            <a:rPr lang="en-ZA" sz="1800" b="1" baseline="0">
              <a:solidFill>
                <a:schemeClr val="bg1"/>
              </a:solidFill>
            </a:rPr>
            <a:t>  and</a:t>
          </a:r>
          <a:r>
            <a:rPr lang="en-ZA" sz="1800" b="1">
              <a:solidFill>
                <a:schemeClr val="bg1"/>
              </a:solidFill>
            </a:rPr>
            <a:t> check whether these are new, lapsing, or simply low-volume accounts.</a:t>
          </a:r>
        </a:p>
      </xdr:txBody>
    </xdr:sp>
    <xdr:clientData/>
  </xdr:twoCellAnchor>
  <xdr:twoCellAnchor>
    <xdr:from>
      <xdr:col>28</xdr:col>
      <xdr:colOff>288324</xdr:colOff>
      <xdr:row>65</xdr:row>
      <xdr:rowOff>135716</xdr:rowOff>
    </xdr:from>
    <xdr:to>
      <xdr:col>38</xdr:col>
      <xdr:colOff>41189</xdr:colOff>
      <xdr:row>70</xdr:row>
      <xdr:rowOff>0</xdr:rowOff>
    </xdr:to>
    <xdr:sp macro="" textlink="">
      <xdr:nvSpPr>
        <xdr:cNvPr id="68" name="TextBox 67">
          <a:extLst>
            <a:ext uri="{FF2B5EF4-FFF2-40B4-BE49-F238E27FC236}">
              <a16:creationId xmlns:a16="http://schemas.microsoft.com/office/drawing/2014/main" id="{B808CD2B-A10C-4D7B-AE69-00DFCA94170C}"/>
            </a:ext>
          </a:extLst>
        </xdr:cNvPr>
        <xdr:cNvSpPr txBox="1"/>
      </xdr:nvSpPr>
      <xdr:spPr>
        <a:xfrm>
          <a:off x="17093513" y="12183554"/>
          <a:ext cx="5931244" cy="791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4. Revisit how monthly targets are set. Feb–Apr all carry a flat R100,000 target, which was missed every single month.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y Kukosama" refreshedDate="46277.765399074073" createdVersion="8" refreshedVersion="8" minRefreshableVersion="3" recordCount="832" xr:uid="{FA52D78B-5F1B-4922-A879-8BA7F8CBA034}">
  <cacheSource type="worksheet">
    <worksheetSource name="InputData"/>
  </cacheSource>
  <cacheFields count="13">
    <cacheField name="DATE" numFmtId="14">
      <sharedItems containsSemiMixedTypes="0" containsNonDate="0" containsDate="1" containsString="0" minDate="2021-01-01T00:00:00" maxDate="2022-01-01T00:00:00" count="327">
        <d v="2021-01-01T00:00:00"/>
        <d v="2021-01-02T00:00:00"/>
        <d v="2021-01-03T00:00:00"/>
        <d v="2021-01-04T00:00:00"/>
        <d v="2021-01-06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2T00:00:00"/>
        <d v="2021-02-13T00:00:00"/>
        <d v="2021-02-14T00:00:00"/>
        <d v="2021-02-15T00:00:00"/>
        <d v="2021-02-16T00:00:00"/>
        <d v="2021-02-17T00:00:00"/>
        <d v="2021-02-18T00:00:00"/>
        <d v="2021-02-19T00:00:00"/>
        <d v="2021-02-20T00:00:00"/>
        <d v="2021-02-21T00:00:00"/>
        <d v="2021-02-22T00:00:00"/>
        <d v="2021-02-23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3T00:00:00"/>
        <d v="2021-03-14T00:00:00"/>
        <d v="2021-03-15T00:00:00"/>
        <d v="2021-03-16T00:00:00"/>
        <d v="2021-03-18T00:00:00"/>
        <d v="2021-03-19T00:00:00"/>
        <d v="2021-03-20T00:00:00"/>
        <d v="2021-03-21T00:00:00"/>
        <d v="2021-03-22T00:00:00"/>
        <d v="2021-03-23T00:00:00"/>
        <d v="2021-03-25T00:00:00"/>
        <d v="2021-03-26T00:00:00"/>
        <d v="2021-03-27T00:00:00"/>
        <d v="2021-03-28T00:00:00"/>
        <d v="2021-03-29T00:00:00"/>
        <d v="2021-03-30T00:00:00"/>
        <d v="2021-03-31T00:00:00"/>
        <d v="2021-04-01T00:00:00"/>
        <d v="2021-04-02T00:00:00"/>
        <d v="2021-04-04T00:00:00"/>
        <d v="2021-04-05T00:00:00"/>
        <d v="2021-04-06T00:00:00"/>
        <d v="2021-04-07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8T00:00:00"/>
        <d v="2021-04-29T00:00:00"/>
        <d v="2021-04-30T00:00:00"/>
        <d v="2021-05-01T00:00:00"/>
        <d v="2021-05-02T00:00:00"/>
        <d v="2021-05-03T00:00:00"/>
        <d v="2021-05-04T00:00:00"/>
        <d v="2021-05-05T00:00:00"/>
        <d v="2021-05-06T00:00:00"/>
        <d v="2021-05-07T00:00:00"/>
        <d v="2021-05-08T00:00:00"/>
        <d v="2021-05-09T00:00:00"/>
        <d v="2021-05-10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8T00:00:00"/>
        <d v="2021-05-30T00:00:00"/>
        <d v="2021-06-02T00:00:00"/>
        <d v="2021-06-03T00:00:00"/>
        <d v="2021-06-04T00:00:00"/>
        <d v="2021-06-05T00:00:00"/>
        <d v="2021-06-06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8T00:00:00"/>
        <d v="2021-07-09T00:00:00"/>
        <d v="2021-07-10T00:00:00"/>
        <d v="2021-07-11T00:00:00"/>
        <d v="2021-07-12T00:00:00"/>
        <d v="2021-07-13T00:00:00"/>
        <d v="2021-07-14T00:00:00"/>
        <d v="2021-07-15T00:00:00"/>
        <d v="2021-07-16T00:00:00"/>
        <d v="2021-07-17T00:00:00"/>
        <d v="2021-07-18T00:00:00"/>
        <d v="2021-07-20T00:00:00"/>
        <d v="2021-07-21T00:00:00"/>
        <d v="2021-07-22T00:00:00"/>
        <d v="2021-07-23T00:00:00"/>
        <d v="2021-07-24T00:00:00"/>
        <d v="2021-07-25T00:00:00"/>
        <d v="2021-07-26T00:00:00"/>
        <d v="2021-07-27T00:00:00"/>
        <d v="2021-07-29T00:00:00"/>
        <d v="2021-07-30T00:00:00"/>
        <d v="2021-07-31T00:00:00"/>
        <d v="2021-08-01T00:00:00"/>
        <d v="2021-08-02T00:00:00"/>
        <d v="2021-08-03T00:00:00"/>
        <d v="2021-08-04T00:00:00"/>
        <d v="2021-08-05T00:00:00"/>
        <d v="2021-08-06T00:00:00"/>
        <d v="2021-08-08T00:00:00"/>
        <d v="2021-08-10T00:00:00"/>
        <d v="2021-08-11T00:00:00"/>
        <d v="2021-08-13T00:00:00"/>
        <d v="2021-08-14T00:00:00"/>
        <d v="2021-08-15T00:00:00"/>
        <d v="2021-08-16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3T00:00:00"/>
        <d v="2021-09-04T00:00:00"/>
        <d v="2021-09-05T00:00:00"/>
        <d v="2021-09-06T00:00:00"/>
        <d v="2021-09-07T00:00:00"/>
        <d v="2021-09-08T00:00:00"/>
        <d v="2021-09-09T00:00:00"/>
        <d v="2021-09-10T00:00:00"/>
        <d v="2021-09-11T00:00:00"/>
        <d v="2021-09-13T00:00:00"/>
        <d v="2021-09-14T00:00:00"/>
        <d v="2021-09-15T00:00:00"/>
        <d v="2021-09-16T00:00:00"/>
        <d v="2021-09-17T00:00:00"/>
        <d v="2021-09-18T00:00:00"/>
        <d v="2021-09-19T00:00:00"/>
        <d v="2021-09-20T00:00:00"/>
        <d v="2021-09-21T00:00:00"/>
        <d v="2021-09-22T00:00:00"/>
        <d v="2021-09-23T00:00:00"/>
        <d v="2021-09-24T00:00:00"/>
        <d v="2021-09-25T00:00:00"/>
        <d v="2021-09-27T00:00:00"/>
        <d v="2021-09-29T00:00:00"/>
        <d v="2021-09-30T00:00:00"/>
        <d v="2021-10-01T00:00:00"/>
        <d v="2021-10-02T00:00:00"/>
        <d v="2021-10-03T00:00:00"/>
        <d v="2021-10-04T00:00:00"/>
        <d v="2021-10-05T00:00:00"/>
        <d v="2021-10-06T00:00:00"/>
        <d v="2021-10-07T00:00:00"/>
        <d v="2021-10-09T00:00:00"/>
        <d v="2021-10-10T00:00:00"/>
        <d v="2021-10-11T00:00:00"/>
        <d v="2021-10-12T00:00:00"/>
        <d v="2021-10-13T00:00:00"/>
        <d v="2021-10-14T00:00:00"/>
        <d v="2021-10-15T00:00:00"/>
        <d v="2021-10-16T00:00:00"/>
        <d v="2021-10-17T00:00:00"/>
        <d v="2021-10-18T00:00:00"/>
        <d v="2021-10-22T00:00:00"/>
        <d v="2021-10-23T00:00:00"/>
        <d v="2021-10-24T00:00:00"/>
        <d v="2021-10-25T00:00:00"/>
        <d v="2021-10-26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5T00:00:00"/>
        <d v="2021-11-26T00:00:00"/>
        <d v="2021-11-27T00:00:00"/>
        <d v="2021-11-28T00:00:00"/>
        <d v="2021-11-30T00:00:00"/>
        <d v="2021-12-02T00:00:00"/>
        <d v="2021-12-03T00:00:00"/>
        <d v="2021-12-04T00:00:00"/>
        <d v="2021-12-05T00:00:00"/>
        <d v="2021-12-07T00:00:00"/>
        <d v="2021-12-08T00:00:00"/>
        <d v="2021-12-09T00:00:00"/>
        <d v="2021-12-10T00:00:00"/>
        <d v="2021-12-11T00:00:00"/>
        <d v="2021-12-12T00:00:00"/>
        <d v="2021-12-14T00:00:00"/>
        <d v="2021-12-15T00:00:00"/>
        <d v="2021-12-16T00:00:00"/>
        <d v="2021-12-17T00:00:00"/>
        <d v="2021-12-18T00:00:00"/>
        <d v="2021-12-19T00:00:00"/>
        <d v="2021-12-20T00:00:00"/>
        <d v="2021-12-21T00:00:00"/>
        <d v="2021-12-22T00:00:00"/>
        <d v="2021-12-24T00:00:00"/>
        <d v="2021-12-25T00:00:00"/>
        <d v="2021-12-26T00:00:00"/>
        <d v="2021-12-27T00:00:00"/>
        <d v="2021-12-28T00:00:00"/>
        <d v="2021-12-29T00:00:00"/>
        <d v="2021-12-30T00:00:00"/>
        <d v="2021-12-31T00:00:00"/>
      </sharedItems>
      <fieldGroup par="12"/>
    </cacheField>
    <cacheField name="CUSTOMER NAME" numFmtId="0">
      <sharedItems count="80">
        <s v="Stonebridge Commercial"/>
        <s v="Overton Retail Solutions"/>
        <s v="Cobalt Point Supplies"/>
        <s v="Meridian Hardware Co."/>
        <s v="Harrow Distribution"/>
        <s v="Northfield Traders"/>
        <s v="Kingsmead Distribution"/>
        <s v="Vesterly Traders"/>
        <s v="Alderman Retail Group"/>
        <s v="Talbot Street Merchants"/>
        <s v="Ironbridge Trading Co."/>
        <s v="Hollowell Supply Co."/>
        <s v="Draycott Wholesalers"/>
        <s v="Northgate Industries"/>
        <s v="Ashworth Trading Group"/>
        <s v="Vantage Point Retailers"/>
        <s v="Thornwell Trading"/>
        <s v="Ovenden &amp; Sons"/>
        <s v="Whitfield Distributors"/>
        <s v="Pemberton &amp; Associates"/>
        <s v="Delacroix Wholesale"/>
        <s v="Redwood Mercantile"/>
        <s v="Ridgeway Commercial"/>
        <s v="Fairstone Retail Group"/>
        <s v="Silverline Wholesalers"/>
        <s v="Blackfriars Supply"/>
        <s v="Hendricks Mercantile"/>
        <s v="Millbrook Distribution"/>
        <s v="Marchbank Traders"/>
        <s v="Southcote Industries"/>
        <s v="Fenwick Traders"/>
        <s v="Coastal Fittings Ltd"/>
        <s v="Bellview Enterprises"/>
        <s v="Baxter &amp; Kline Supplies"/>
        <s v="Larkspur Retailers"/>
        <s v="Cranfield &amp; Co."/>
        <s v="Ashcombe Traders"/>
        <s v="Kestrel Logistics"/>
        <s v="Union Cross Supply Co."/>
        <s v="Radcliffe Mercantile"/>
        <s v="Customer33" u="1"/>
        <s v="Customer29" u="1"/>
        <s v="Customer31" u="1"/>
        <s v="Customer03" u="1"/>
        <s v="Customer05" u="1"/>
        <s v="Customer35" u="1"/>
        <s v="Customer38" u="1"/>
        <s v="Customer39" u="1"/>
        <s v="Customer34" u="1"/>
        <s v="Customer18" u="1"/>
        <s v="Customer20" u="1"/>
        <s v="Customer37" u="1"/>
        <s v="Customer32" u="1"/>
        <s v="Customer09" u="1"/>
        <s v="Customer26" u="1"/>
        <s v="Customer06" u="1"/>
        <s v="Customer01" u="1"/>
        <s v="Customer16" u="1"/>
        <s v="Customer19" u="1"/>
        <s v="Customer36" u="1"/>
        <s v="Customer21" u="1"/>
        <s v="Customer11" u="1"/>
        <s v="Customer17" u="1"/>
        <s v="Customer14" u="1"/>
        <s v="Customer08" u="1"/>
        <s v="Customer24" u="1"/>
        <s v="Customer25" u="1"/>
        <s v="Customer27" u="1"/>
        <s v="Customer15" u="1"/>
        <s v="Customer22" u="1"/>
        <s v="Customer30" u="1"/>
        <s v="Customer04" u="1"/>
        <s v="Customer12" u="1"/>
        <s v="Customer02" u="1"/>
        <s v="Customer23" u="1"/>
        <s v="Customer28" u="1"/>
        <s v="Customer10" u="1"/>
        <s v="Customer07" u="1"/>
        <s v="Customer13" u="1"/>
        <s v="Customer40" u="1"/>
      </sharedItems>
    </cacheField>
    <cacheField name="PRODUCT" numFmtId="0">
      <sharedItems count="88">
        <s v="Eye Bolt M10"/>
        <s v="Hose Clamp 32mm"/>
        <s v="Cable Tie 300mm"/>
        <s v="Shelf Bracket 200mm"/>
        <s v="Rivet 4mm"/>
        <s v="Self-Tapping Screw 25mm"/>
        <s v="Machine Screw M4"/>
        <s v="Cap Screw M6"/>
        <s v="Copper Pipe Fitting 15mm"/>
        <s v="Carriage Bolt M8"/>
        <s v="Butt Hinge 100mm"/>
        <s v="Drywall Screw 30mm"/>
        <s v="T-Bracket 100mm"/>
        <s v="Corner Bracket 50mm"/>
        <s v="Anchor Bolt M10"/>
        <s v="Lock Washer M8"/>
        <s v="Gate Bolt 150mm"/>
        <s v="Turnbuckle M8"/>
        <s v="Conduit Clamp 25mm"/>
        <s v="Hex Bolt M12"/>
        <s v="Hex Bolt M10"/>
        <s v="L-Bracket 75mm"/>
        <s v="Turnbuckle Hook M6"/>
        <s v="Wood Screw 40mm"/>
        <s v="PVC Coupling 25mm"/>
        <s v="Blind Rivet 6mm"/>
        <s v="Flat Washer M10"/>
        <s v="U-Bolt M8"/>
        <s v="Brass Elbow Joint 20mm"/>
        <s v="Toggle Bolt M6"/>
        <s v="Pipe Clamp 25mm"/>
        <s v="Hex Bolt M8"/>
        <s v="Door Latch Set"/>
        <s v="Cotter Pin 3mm"/>
        <s v="Flange Nut M10"/>
        <s v="Wing Nut M6"/>
        <s v="Padlock Hasp 100mm"/>
        <s v="Cabinet Hinge 75mm"/>
        <s v="PVC Elbow 20mm"/>
        <s v="Cable Clip 20mm"/>
        <s v="Split Pin 5mm"/>
        <s v="Threaded Rod M12"/>
        <s v="Chain Link 6mm"/>
        <s v="Mending Plate 100mm"/>
        <s v="Product24" u="1"/>
        <s v="Product22" u="1"/>
        <s v="Product38" u="1"/>
        <s v="Product33" u="1"/>
        <s v="Product15" u="1"/>
        <s v="Product10" u="1"/>
        <s v="Product13" u="1"/>
        <s v="Product14" u="1"/>
        <s v="Product43" u="1"/>
        <s v="Product04" u="1"/>
        <s v="Product29" u="1"/>
        <s v="Product12" u="1"/>
        <s v="Product35" u="1"/>
        <s v="Product32" u="1"/>
        <s v="Product19" u="1"/>
        <s v="Product07" u="1"/>
        <s v="Product31" u="1"/>
        <s v="Product25" u="1"/>
        <s v="Product40" u="1"/>
        <s v="Product03" u="1"/>
        <s v="Product02" u="1"/>
        <s v="Product34" u="1"/>
        <s v="Product37" u="1"/>
        <s v="Product11" u="1"/>
        <s v="Product42" u="1"/>
        <s v="Product16" u="1"/>
        <s v="Product08" u="1"/>
        <s v="Product23" u="1"/>
        <s v="Product44" u="1"/>
        <s v="Product20" u="1"/>
        <s v="Product21" u="1"/>
        <s v="Product01" u="1"/>
        <s v="Product30" u="1"/>
        <s v="Product17" u="1"/>
        <s v="Product06" u="1"/>
        <s v="Product05" u="1"/>
        <s v="Product27" u="1"/>
        <s v="Product28" u="1"/>
        <s v="Product41" u="1"/>
        <s v="Product39" u="1"/>
        <s v="Product18" u="1"/>
        <s v="Product09" u="1"/>
        <s v="Product26" u="1"/>
        <s v="Product36" u="1"/>
      </sharedItems>
    </cacheField>
    <cacheField name="UNIT PRICE (R)" numFmtId="165">
      <sharedItems containsSemiMixedTypes="0" containsString="0" containsNumber="1" minValue="6.7" maxValue="210"/>
    </cacheField>
    <cacheField name="QUANTITY" numFmtId="0">
      <sharedItems containsSemiMixedTypes="0" containsString="0" containsNumber="1" containsInteger="1" minValue="1" maxValue="39"/>
    </cacheField>
    <cacheField name="Actual SALE" numFmtId="165">
      <sharedItems containsSemiMixedTypes="0" containsString="0" containsNumber="1" minValue="6.7" maxValue="8190"/>
    </cacheField>
    <cacheField name="Country" numFmtId="0">
      <sharedItems count="16">
        <s v="India"/>
        <s v="Germany"/>
        <s v="United Kingdom"/>
        <s v="United States of America"/>
        <s v="Pakistan"/>
        <s v="Russia"/>
        <s v="Nigeria"/>
        <s v="South Africa"/>
        <s v="Mexico"/>
        <s v="Saudi Arabia"/>
        <s v="Ethiopia"/>
        <s v="Brazil"/>
        <s v="Bangladesh"/>
        <s v="France"/>
        <s v="Indonesia"/>
        <e v="#N/A" u="1"/>
      </sharedItems>
    </cacheField>
    <cacheField name="Region" numFmtId="0">
      <sharedItems count="8">
        <s v="Western"/>
        <s v="South"/>
        <s v="North"/>
        <s v="Northeast"/>
        <s v="Export"/>
        <s v="Central"/>
        <s v="East"/>
        <e v="#N/A" u="1"/>
      </sharedItems>
    </cacheField>
    <cacheField name="Month" numFmtId="0">
      <sharedItems count="12">
        <s v="January"/>
        <s v="February"/>
        <s v="March"/>
        <s v="April"/>
        <s v="May"/>
        <s v="June"/>
        <s v="July"/>
        <s v="August"/>
        <s v="September"/>
        <s v="October"/>
        <s v="November"/>
        <s v="December"/>
      </sharedItems>
    </cacheField>
    <cacheField name="Day" numFmtId="0">
      <sharedItems/>
    </cacheField>
    <cacheField name="Week" numFmtId="1">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 name="Days (DATE)" numFmtId="0" databaseField="0">
      <fieldGroup base="0">
        <rangePr groupBy="days" startDate="2021-01-01T00:00:00" endDate="2022-01-01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Months (DATE)" numFmtId="0" databaseField="0">
      <fieldGroup base="0">
        <rangePr groupBy="months" startDate="2021-01-01T00:00:00" endDate="2022-01-01T00:00:00"/>
        <groupItems count="14">
          <s v="&lt;01/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11431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2">
  <r>
    <x v="0"/>
    <x v="0"/>
    <x v="0"/>
    <n v="156.96"/>
    <n v="9"/>
    <n v="1412.64"/>
    <x v="0"/>
    <x v="0"/>
    <x v="0"/>
    <s v="Fri"/>
    <x v="0"/>
  </r>
  <r>
    <x v="0"/>
    <x v="1"/>
    <x v="1"/>
    <n v="141.57"/>
    <n v="1"/>
    <n v="141.57"/>
    <x v="0"/>
    <x v="1"/>
    <x v="0"/>
    <s v="Fri"/>
    <x v="0"/>
  </r>
  <r>
    <x v="1"/>
    <x v="2"/>
    <x v="2"/>
    <n v="79.92"/>
    <n v="15"/>
    <n v="1198.8"/>
    <x v="0"/>
    <x v="2"/>
    <x v="0"/>
    <s v="Sat"/>
    <x v="0"/>
  </r>
  <r>
    <x v="1"/>
    <x v="3"/>
    <x v="3"/>
    <n v="119.7"/>
    <n v="1"/>
    <n v="119.7"/>
    <x v="0"/>
    <x v="3"/>
    <x v="0"/>
    <s v="Sat"/>
    <x v="0"/>
  </r>
  <r>
    <x v="1"/>
    <x v="4"/>
    <x v="4"/>
    <n v="15.719999999999999"/>
    <n v="2"/>
    <n v="31.439999999999998"/>
    <x v="0"/>
    <x v="3"/>
    <x v="0"/>
    <s v="Sat"/>
    <x v="0"/>
  </r>
  <r>
    <x v="1"/>
    <x v="5"/>
    <x v="5"/>
    <n v="164.28"/>
    <n v="7"/>
    <n v="1149.96"/>
    <x v="0"/>
    <x v="2"/>
    <x v="0"/>
    <s v="Sat"/>
    <x v="0"/>
  </r>
  <r>
    <x v="1"/>
    <x v="6"/>
    <x v="6"/>
    <n v="122.08"/>
    <n v="6"/>
    <n v="732.48"/>
    <x v="0"/>
    <x v="3"/>
    <x v="0"/>
    <s v="Sat"/>
    <x v="0"/>
  </r>
  <r>
    <x v="1"/>
    <x v="7"/>
    <x v="4"/>
    <n v="15.719999999999999"/>
    <n v="25"/>
    <n v="393"/>
    <x v="1"/>
    <x v="4"/>
    <x v="0"/>
    <s v="Sat"/>
    <x v="0"/>
  </r>
  <r>
    <x v="2"/>
    <x v="8"/>
    <x v="7"/>
    <n v="146.72"/>
    <n v="21"/>
    <n v="3081.12"/>
    <x v="0"/>
    <x v="3"/>
    <x v="0"/>
    <s v="Sun"/>
    <x v="1"/>
  </r>
  <r>
    <x v="2"/>
    <x v="9"/>
    <x v="8"/>
    <n v="83.08"/>
    <n v="9"/>
    <n v="747.72"/>
    <x v="0"/>
    <x v="0"/>
    <x v="0"/>
    <s v="Sun"/>
    <x v="1"/>
  </r>
  <r>
    <x v="2"/>
    <x v="10"/>
    <x v="2"/>
    <n v="79.92"/>
    <n v="31"/>
    <n v="2477.52"/>
    <x v="2"/>
    <x v="4"/>
    <x v="0"/>
    <s v="Sun"/>
    <x v="1"/>
  </r>
  <r>
    <x v="2"/>
    <x v="11"/>
    <x v="9"/>
    <n v="48.84"/>
    <n v="5"/>
    <n v="244.20000000000002"/>
    <x v="3"/>
    <x v="4"/>
    <x v="0"/>
    <s v="Sun"/>
    <x v="1"/>
  </r>
  <r>
    <x v="3"/>
    <x v="12"/>
    <x v="10"/>
    <n v="53.11"/>
    <n v="1"/>
    <n v="53.11"/>
    <x v="4"/>
    <x v="4"/>
    <x v="0"/>
    <s v="Mon"/>
    <x v="1"/>
  </r>
  <r>
    <x v="3"/>
    <x v="13"/>
    <x v="11"/>
    <n v="94.17"/>
    <n v="8"/>
    <n v="753.36"/>
    <x v="5"/>
    <x v="4"/>
    <x v="0"/>
    <s v="Mon"/>
    <x v="1"/>
  </r>
  <r>
    <x v="3"/>
    <x v="14"/>
    <x v="12"/>
    <n v="6.7"/>
    <n v="12"/>
    <n v="80.400000000000006"/>
    <x v="0"/>
    <x v="3"/>
    <x v="0"/>
    <s v="Mon"/>
    <x v="1"/>
  </r>
  <r>
    <x v="4"/>
    <x v="15"/>
    <x v="13"/>
    <n v="117.48"/>
    <n v="9"/>
    <n v="1057.32"/>
    <x v="4"/>
    <x v="4"/>
    <x v="0"/>
    <s v="Wed"/>
    <x v="1"/>
  </r>
  <r>
    <x v="5"/>
    <x v="13"/>
    <x v="14"/>
    <n v="210"/>
    <n v="14"/>
    <n v="2940"/>
    <x v="5"/>
    <x v="4"/>
    <x v="0"/>
    <s v="Fri"/>
    <x v="1"/>
  </r>
  <r>
    <x v="6"/>
    <x v="16"/>
    <x v="15"/>
    <n v="47.730000000000004"/>
    <n v="26"/>
    <n v="1240.98"/>
    <x v="6"/>
    <x v="4"/>
    <x v="0"/>
    <s v="Sat"/>
    <x v="1"/>
  </r>
  <r>
    <x v="6"/>
    <x v="4"/>
    <x v="16"/>
    <n v="104.16"/>
    <n v="1"/>
    <n v="104.16"/>
    <x v="0"/>
    <x v="3"/>
    <x v="0"/>
    <s v="Sat"/>
    <x v="1"/>
  </r>
  <r>
    <x v="6"/>
    <x v="8"/>
    <x v="17"/>
    <n v="8.33"/>
    <n v="4"/>
    <n v="33.32"/>
    <x v="0"/>
    <x v="3"/>
    <x v="0"/>
    <s v="Sat"/>
    <x v="1"/>
  </r>
  <r>
    <x v="6"/>
    <x v="17"/>
    <x v="16"/>
    <n v="104.16"/>
    <n v="29"/>
    <n v="3020.64"/>
    <x v="5"/>
    <x v="4"/>
    <x v="0"/>
    <s v="Sat"/>
    <x v="1"/>
  </r>
  <r>
    <x v="6"/>
    <x v="18"/>
    <x v="18"/>
    <n v="115.2"/>
    <n v="28"/>
    <n v="3225.6"/>
    <x v="0"/>
    <x v="5"/>
    <x v="0"/>
    <s v="Sat"/>
    <x v="1"/>
  </r>
  <r>
    <x v="6"/>
    <x v="10"/>
    <x v="19"/>
    <n v="80.94"/>
    <n v="8"/>
    <n v="647.52"/>
    <x v="2"/>
    <x v="4"/>
    <x v="0"/>
    <s v="Sat"/>
    <x v="1"/>
  </r>
  <r>
    <x v="6"/>
    <x v="19"/>
    <x v="13"/>
    <n v="117.48"/>
    <n v="12"/>
    <n v="1409.76"/>
    <x v="4"/>
    <x v="4"/>
    <x v="0"/>
    <s v="Sat"/>
    <x v="1"/>
  </r>
  <r>
    <x v="7"/>
    <x v="3"/>
    <x v="20"/>
    <n v="142.80000000000001"/>
    <n v="24"/>
    <n v="3427.2000000000003"/>
    <x v="0"/>
    <x v="3"/>
    <x v="0"/>
    <s v="Sun"/>
    <x v="2"/>
  </r>
  <r>
    <x v="7"/>
    <x v="20"/>
    <x v="21"/>
    <n v="58.3"/>
    <n v="14"/>
    <n v="816.19999999999993"/>
    <x v="7"/>
    <x v="4"/>
    <x v="0"/>
    <s v="Sun"/>
    <x v="2"/>
  </r>
  <r>
    <x v="7"/>
    <x v="19"/>
    <x v="12"/>
    <n v="6.7"/>
    <n v="9"/>
    <n v="60.300000000000004"/>
    <x v="4"/>
    <x v="4"/>
    <x v="0"/>
    <s v="Sun"/>
    <x v="2"/>
  </r>
  <r>
    <x v="8"/>
    <x v="3"/>
    <x v="22"/>
    <n v="85.76"/>
    <n v="3"/>
    <n v="257.28000000000003"/>
    <x v="0"/>
    <x v="3"/>
    <x v="0"/>
    <s v="Mon"/>
    <x v="2"/>
  </r>
  <r>
    <x v="8"/>
    <x v="21"/>
    <x v="7"/>
    <n v="146.72"/>
    <n v="4"/>
    <n v="586.88"/>
    <x v="8"/>
    <x v="4"/>
    <x v="0"/>
    <s v="Mon"/>
    <x v="2"/>
  </r>
  <r>
    <x v="8"/>
    <x v="8"/>
    <x v="23"/>
    <n v="48.4"/>
    <n v="14"/>
    <n v="677.6"/>
    <x v="0"/>
    <x v="3"/>
    <x v="0"/>
    <s v="Mon"/>
    <x v="2"/>
  </r>
  <r>
    <x v="8"/>
    <x v="22"/>
    <x v="24"/>
    <n v="162"/>
    <n v="4"/>
    <n v="648"/>
    <x v="9"/>
    <x v="4"/>
    <x v="0"/>
    <s v="Mon"/>
    <x v="2"/>
  </r>
  <r>
    <x v="8"/>
    <x v="10"/>
    <x v="13"/>
    <n v="117.48"/>
    <n v="2"/>
    <n v="234.96"/>
    <x v="2"/>
    <x v="4"/>
    <x v="0"/>
    <s v="Mon"/>
    <x v="2"/>
  </r>
  <r>
    <x v="9"/>
    <x v="4"/>
    <x v="24"/>
    <n v="162"/>
    <n v="10"/>
    <n v="1620"/>
    <x v="0"/>
    <x v="3"/>
    <x v="0"/>
    <s v="Tue"/>
    <x v="2"/>
  </r>
  <r>
    <x v="10"/>
    <x v="2"/>
    <x v="25"/>
    <n v="16.64"/>
    <n v="15"/>
    <n v="249.60000000000002"/>
    <x v="0"/>
    <x v="2"/>
    <x v="0"/>
    <s v="Wed"/>
    <x v="2"/>
  </r>
  <r>
    <x v="10"/>
    <x v="15"/>
    <x v="14"/>
    <n v="210"/>
    <n v="6"/>
    <n v="1260"/>
    <x v="4"/>
    <x v="4"/>
    <x v="0"/>
    <s v="Wed"/>
    <x v="2"/>
  </r>
  <r>
    <x v="11"/>
    <x v="6"/>
    <x v="23"/>
    <n v="48.4"/>
    <n v="14"/>
    <n v="677.6"/>
    <x v="0"/>
    <x v="3"/>
    <x v="0"/>
    <s v="Thu"/>
    <x v="2"/>
  </r>
  <r>
    <x v="12"/>
    <x v="23"/>
    <x v="15"/>
    <n v="47.730000000000004"/>
    <n v="15"/>
    <n v="715.95"/>
    <x v="0"/>
    <x v="6"/>
    <x v="0"/>
    <s v="Fri"/>
    <x v="2"/>
  </r>
  <r>
    <x v="12"/>
    <x v="10"/>
    <x v="1"/>
    <n v="141.57"/>
    <n v="10"/>
    <n v="1415.6999999999998"/>
    <x v="2"/>
    <x v="4"/>
    <x v="0"/>
    <s v="Fri"/>
    <x v="2"/>
  </r>
  <r>
    <x v="13"/>
    <x v="12"/>
    <x v="7"/>
    <n v="146.72"/>
    <n v="11"/>
    <n v="1613.92"/>
    <x v="4"/>
    <x v="4"/>
    <x v="0"/>
    <s v="Sat"/>
    <x v="2"/>
  </r>
  <r>
    <x v="14"/>
    <x v="24"/>
    <x v="18"/>
    <n v="115.2"/>
    <n v="4"/>
    <n v="460.8"/>
    <x v="2"/>
    <x v="4"/>
    <x v="0"/>
    <s v="Sun"/>
    <x v="3"/>
  </r>
  <r>
    <x v="15"/>
    <x v="15"/>
    <x v="26"/>
    <n v="94.62"/>
    <n v="9"/>
    <n v="851.58"/>
    <x v="4"/>
    <x v="4"/>
    <x v="0"/>
    <s v="Mon"/>
    <x v="3"/>
  </r>
  <r>
    <x v="15"/>
    <x v="18"/>
    <x v="27"/>
    <n v="149.46"/>
    <n v="3"/>
    <n v="448.38"/>
    <x v="0"/>
    <x v="5"/>
    <x v="0"/>
    <s v="Mon"/>
    <x v="3"/>
  </r>
  <r>
    <x v="15"/>
    <x v="25"/>
    <x v="28"/>
    <n v="82.08"/>
    <n v="13"/>
    <n v="1067.04"/>
    <x v="0"/>
    <x v="2"/>
    <x v="0"/>
    <s v="Mon"/>
    <x v="3"/>
  </r>
  <r>
    <x v="16"/>
    <x v="10"/>
    <x v="12"/>
    <n v="6.7"/>
    <n v="6"/>
    <n v="40.200000000000003"/>
    <x v="2"/>
    <x v="4"/>
    <x v="0"/>
    <s v="Tue"/>
    <x v="3"/>
  </r>
  <r>
    <x v="17"/>
    <x v="13"/>
    <x v="21"/>
    <n v="58.3"/>
    <n v="4"/>
    <n v="233.2"/>
    <x v="5"/>
    <x v="4"/>
    <x v="0"/>
    <s v="Wed"/>
    <x v="3"/>
  </r>
  <r>
    <x v="17"/>
    <x v="5"/>
    <x v="29"/>
    <n v="76.25"/>
    <n v="4"/>
    <n v="305"/>
    <x v="0"/>
    <x v="2"/>
    <x v="0"/>
    <s v="Wed"/>
    <x v="3"/>
  </r>
  <r>
    <x v="17"/>
    <x v="9"/>
    <x v="30"/>
    <n v="162.54"/>
    <n v="2"/>
    <n v="325.08"/>
    <x v="0"/>
    <x v="0"/>
    <x v="0"/>
    <s v="Wed"/>
    <x v="3"/>
  </r>
  <r>
    <x v="17"/>
    <x v="26"/>
    <x v="7"/>
    <n v="146.72"/>
    <n v="7"/>
    <n v="1027.04"/>
    <x v="10"/>
    <x v="4"/>
    <x v="0"/>
    <s v="Wed"/>
    <x v="3"/>
  </r>
  <r>
    <x v="18"/>
    <x v="19"/>
    <x v="9"/>
    <n v="48.84"/>
    <n v="15"/>
    <n v="732.6"/>
    <x v="4"/>
    <x v="4"/>
    <x v="0"/>
    <s v="Thu"/>
    <x v="3"/>
  </r>
  <r>
    <x v="18"/>
    <x v="6"/>
    <x v="24"/>
    <n v="162"/>
    <n v="6"/>
    <n v="972"/>
    <x v="0"/>
    <x v="3"/>
    <x v="0"/>
    <s v="Thu"/>
    <x v="3"/>
  </r>
  <r>
    <x v="18"/>
    <x v="1"/>
    <x v="19"/>
    <n v="80.94"/>
    <n v="9"/>
    <n v="728.46"/>
    <x v="0"/>
    <x v="1"/>
    <x v="0"/>
    <s v="Thu"/>
    <x v="3"/>
  </r>
  <r>
    <x v="19"/>
    <x v="27"/>
    <x v="31"/>
    <n v="103.88"/>
    <n v="6"/>
    <n v="623.28"/>
    <x v="0"/>
    <x v="1"/>
    <x v="0"/>
    <s v="Fri"/>
    <x v="3"/>
  </r>
  <r>
    <x v="20"/>
    <x v="21"/>
    <x v="20"/>
    <n v="142.80000000000001"/>
    <n v="5"/>
    <n v="714"/>
    <x v="8"/>
    <x v="4"/>
    <x v="0"/>
    <s v="Sat"/>
    <x v="3"/>
  </r>
  <r>
    <x v="20"/>
    <x v="9"/>
    <x v="26"/>
    <n v="94.62"/>
    <n v="17"/>
    <n v="1608.54"/>
    <x v="0"/>
    <x v="0"/>
    <x v="0"/>
    <s v="Sat"/>
    <x v="3"/>
  </r>
  <r>
    <x v="20"/>
    <x v="18"/>
    <x v="24"/>
    <n v="162"/>
    <n v="8"/>
    <n v="1296"/>
    <x v="0"/>
    <x v="5"/>
    <x v="0"/>
    <s v="Sat"/>
    <x v="3"/>
  </r>
  <r>
    <x v="21"/>
    <x v="14"/>
    <x v="32"/>
    <n v="201.28"/>
    <n v="15"/>
    <n v="3019.2"/>
    <x v="0"/>
    <x v="3"/>
    <x v="0"/>
    <s v="Sun"/>
    <x v="4"/>
  </r>
  <r>
    <x v="22"/>
    <x v="16"/>
    <x v="16"/>
    <n v="104.16"/>
    <n v="14"/>
    <n v="1458.24"/>
    <x v="6"/>
    <x v="4"/>
    <x v="0"/>
    <s v="Mon"/>
    <x v="4"/>
  </r>
  <r>
    <x v="22"/>
    <x v="2"/>
    <x v="12"/>
    <n v="6.7"/>
    <n v="7"/>
    <n v="46.9"/>
    <x v="0"/>
    <x v="2"/>
    <x v="0"/>
    <s v="Mon"/>
    <x v="4"/>
  </r>
  <r>
    <x v="22"/>
    <x v="24"/>
    <x v="21"/>
    <n v="58.3"/>
    <n v="6"/>
    <n v="349.79999999999995"/>
    <x v="2"/>
    <x v="4"/>
    <x v="0"/>
    <s v="Mon"/>
    <x v="4"/>
  </r>
  <r>
    <x v="22"/>
    <x v="20"/>
    <x v="33"/>
    <n v="156.78"/>
    <n v="14"/>
    <n v="2194.92"/>
    <x v="7"/>
    <x v="4"/>
    <x v="0"/>
    <s v="Mon"/>
    <x v="4"/>
  </r>
  <r>
    <x v="23"/>
    <x v="2"/>
    <x v="0"/>
    <n v="156.96"/>
    <n v="29"/>
    <n v="4551.84"/>
    <x v="0"/>
    <x v="2"/>
    <x v="0"/>
    <s v="Tue"/>
    <x v="4"/>
  </r>
  <r>
    <x v="23"/>
    <x v="15"/>
    <x v="28"/>
    <n v="82.08"/>
    <n v="9"/>
    <n v="738.72"/>
    <x v="4"/>
    <x v="4"/>
    <x v="0"/>
    <s v="Tue"/>
    <x v="4"/>
  </r>
  <r>
    <x v="23"/>
    <x v="8"/>
    <x v="31"/>
    <n v="103.88"/>
    <n v="7"/>
    <n v="727.16"/>
    <x v="0"/>
    <x v="3"/>
    <x v="0"/>
    <s v="Tue"/>
    <x v="4"/>
  </r>
  <r>
    <x v="23"/>
    <x v="22"/>
    <x v="34"/>
    <n v="85.5"/>
    <n v="7"/>
    <n v="598.5"/>
    <x v="9"/>
    <x v="4"/>
    <x v="0"/>
    <s v="Tue"/>
    <x v="4"/>
  </r>
  <r>
    <x v="23"/>
    <x v="9"/>
    <x v="5"/>
    <n v="164.28"/>
    <n v="1"/>
    <n v="164.28"/>
    <x v="0"/>
    <x v="0"/>
    <x v="0"/>
    <s v="Tue"/>
    <x v="4"/>
  </r>
  <r>
    <x v="24"/>
    <x v="24"/>
    <x v="13"/>
    <n v="117.48"/>
    <n v="3"/>
    <n v="352.44"/>
    <x v="2"/>
    <x v="4"/>
    <x v="0"/>
    <s v="Wed"/>
    <x v="4"/>
  </r>
  <r>
    <x v="24"/>
    <x v="28"/>
    <x v="18"/>
    <n v="115.2"/>
    <n v="7"/>
    <n v="806.4"/>
    <x v="11"/>
    <x v="4"/>
    <x v="0"/>
    <s v="Wed"/>
    <x v="4"/>
  </r>
  <r>
    <x v="24"/>
    <x v="17"/>
    <x v="35"/>
    <n v="155.61000000000001"/>
    <n v="37"/>
    <n v="5757.5700000000006"/>
    <x v="5"/>
    <x v="4"/>
    <x v="0"/>
    <s v="Wed"/>
    <x v="4"/>
  </r>
  <r>
    <x v="24"/>
    <x v="26"/>
    <x v="14"/>
    <n v="210"/>
    <n v="21"/>
    <n v="4410"/>
    <x v="10"/>
    <x v="4"/>
    <x v="0"/>
    <s v="Wed"/>
    <x v="4"/>
  </r>
  <r>
    <x v="25"/>
    <x v="2"/>
    <x v="25"/>
    <n v="16.64"/>
    <n v="11"/>
    <n v="183.04000000000002"/>
    <x v="0"/>
    <x v="2"/>
    <x v="0"/>
    <s v="Thu"/>
    <x v="4"/>
  </r>
  <r>
    <x v="25"/>
    <x v="3"/>
    <x v="10"/>
    <n v="53.11"/>
    <n v="2"/>
    <n v="106.22"/>
    <x v="0"/>
    <x v="3"/>
    <x v="0"/>
    <s v="Thu"/>
    <x v="4"/>
  </r>
  <r>
    <x v="25"/>
    <x v="7"/>
    <x v="9"/>
    <n v="48.84"/>
    <n v="10"/>
    <n v="488.40000000000003"/>
    <x v="1"/>
    <x v="4"/>
    <x v="0"/>
    <s v="Thu"/>
    <x v="4"/>
  </r>
  <r>
    <x v="26"/>
    <x v="0"/>
    <x v="9"/>
    <n v="48.84"/>
    <n v="10"/>
    <n v="488.40000000000003"/>
    <x v="0"/>
    <x v="0"/>
    <x v="0"/>
    <s v="Fri"/>
    <x v="4"/>
  </r>
  <r>
    <x v="26"/>
    <x v="18"/>
    <x v="0"/>
    <n v="156.96"/>
    <n v="25"/>
    <n v="3924"/>
    <x v="0"/>
    <x v="5"/>
    <x v="0"/>
    <s v="Fri"/>
    <x v="4"/>
  </r>
  <r>
    <x v="26"/>
    <x v="19"/>
    <x v="7"/>
    <n v="146.72"/>
    <n v="21"/>
    <n v="3081.12"/>
    <x v="4"/>
    <x v="4"/>
    <x v="0"/>
    <s v="Fri"/>
    <x v="4"/>
  </r>
  <r>
    <x v="27"/>
    <x v="5"/>
    <x v="8"/>
    <n v="83.08"/>
    <n v="2"/>
    <n v="166.16"/>
    <x v="0"/>
    <x v="2"/>
    <x v="0"/>
    <s v="Sat"/>
    <x v="4"/>
  </r>
  <r>
    <x v="27"/>
    <x v="20"/>
    <x v="36"/>
    <n v="57.120000000000005"/>
    <n v="2"/>
    <n v="114.24000000000001"/>
    <x v="7"/>
    <x v="4"/>
    <x v="0"/>
    <s v="Sat"/>
    <x v="4"/>
  </r>
  <r>
    <x v="28"/>
    <x v="0"/>
    <x v="36"/>
    <n v="57.120000000000005"/>
    <n v="20"/>
    <n v="1142.4000000000001"/>
    <x v="0"/>
    <x v="0"/>
    <x v="0"/>
    <s v="Sun"/>
    <x v="5"/>
  </r>
  <r>
    <x v="28"/>
    <x v="0"/>
    <x v="37"/>
    <n v="41.81"/>
    <n v="3"/>
    <n v="125.43"/>
    <x v="0"/>
    <x v="0"/>
    <x v="0"/>
    <s v="Sun"/>
    <x v="5"/>
  </r>
  <r>
    <x v="28"/>
    <x v="29"/>
    <x v="38"/>
    <n v="173.88"/>
    <n v="9"/>
    <n v="1564.92"/>
    <x v="0"/>
    <x v="6"/>
    <x v="0"/>
    <s v="Sun"/>
    <x v="5"/>
  </r>
  <r>
    <x v="28"/>
    <x v="7"/>
    <x v="19"/>
    <n v="80.94"/>
    <n v="33"/>
    <n v="2671.02"/>
    <x v="1"/>
    <x v="4"/>
    <x v="0"/>
    <s v="Sun"/>
    <x v="5"/>
  </r>
  <r>
    <x v="28"/>
    <x v="30"/>
    <x v="27"/>
    <n v="149.46"/>
    <n v="6"/>
    <n v="896.76"/>
    <x v="8"/>
    <x v="4"/>
    <x v="0"/>
    <s v="Sun"/>
    <x v="5"/>
  </r>
  <r>
    <x v="29"/>
    <x v="16"/>
    <x v="35"/>
    <n v="155.61000000000001"/>
    <n v="9"/>
    <n v="1400.4900000000002"/>
    <x v="6"/>
    <x v="4"/>
    <x v="1"/>
    <s v="Mon"/>
    <x v="5"/>
  </r>
  <r>
    <x v="30"/>
    <x v="5"/>
    <x v="5"/>
    <n v="164.28"/>
    <n v="7"/>
    <n v="1149.96"/>
    <x v="0"/>
    <x v="2"/>
    <x v="1"/>
    <s v="Tue"/>
    <x v="5"/>
  </r>
  <r>
    <x v="31"/>
    <x v="2"/>
    <x v="1"/>
    <n v="141.57"/>
    <n v="2"/>
    <n v="283.14"/>
    <x v="0"/>
    <x v="2"/>
    <x v="1"/>
    <s v="Wed"/>
    <x v="5"/>
  </r>
  <r>
    <x v="31"/>
    <x v="0"/>
    <x v="14"/>
    <n v="210"/>
    <n v="39"/>
    <n v="8190"/>
    <x v="0"/>
    <x v="0"/>
    <x v="1"/>
    <s v="Wed"/>
    <x v="5"/>
  </r>
  <r>
    <x v="31"/>
    <x v="26"/>
    <x v="2"/>
    <n v="79.92"/>
    <n v="27"/>
    <n v="2157.84"/>
    <x v="10"/>
    <x v="4"/>
    <x v="1"/>
    <s v="Wed"/>
    <x v="5"/>
  </r>
  <r>
    <x v="31"/>
    <x v="27"/>
    <x v="7"/>
    <n v="146.72"/>
    <n v="8"/>
    <n v="1173.76"/>
    <x v="0"/>
    <x v="1"/>
    <x v="1"/>
    <s v="Wed"/>
    <x v="5"/>
  </r>
  <r>
    <x v="31"/>
    <x v="1"/>
    <x v="25"/>
    <n v="16.64"/>
    <n v="13"/>
    <n v="216.32"/>
    <x v="0"/>
    <x v="1"/>
    <x v="1"/>
    <s v="Wed"/>
    <x v="5"/>
  </r>
  <r>
    <x v="32"/>
    <x v="19"/>
    <x v="28"/>
    <n v="82.08"/>
    <n v="39"/>
    <n v="3201.12"/>
    <x v="4"/>
    <x v="4"/>
    <x v="1"/>
    <s v="Thu"/>
    <x v="5"/>
  </r>
  <r>
    <x v="32"/>
    <x v="26"/>
    <x v="22"/>
    <n v="85.76"/>
    <n v="4"/>
    <n v="343.04"/>
    <x v="10"/>
    <x v="4"/>
    <x v="1"/>
    <s v="Thu"/>
    <x v="5"/>
  </r>
  <r>
    <x v="32"/>
    <x v="14"/>
    <x v="7"/>
    <n v="146.72"/>
    <n v="26"/>
    <n v="3814.72"/>
    <x v="0"/>
    <x v="3"/>
    <x v="1"/>
    <s v="Thu"/>
    <x v="5"/>
  </r>
  <r>
    <x v="32"/>
    <x v="27"/>
    <x v="17"/>
    <n v="8.33"/>
    <n v="3"/>
    <n v="24.990000000000002"/>
    <x v="0"/>
    <x v="1"/>
    <x v="1"/>
    <s v="Thu"/>
    <x v="5"/>
  </r>
  <r>
    <x v="33"/>
    <x v="16"/>
    <x v="19"/>
    <n v="80.94"/>
    <n v="24"/>
    <n v="1942.56"/>
    <x v="6"/>
    <x v="4"/>
    <x v="1"/>
    <s v="Fri"/>
    <x v="5"/>
  </r>
  <r>
    <x v="33"/>
    <x v="12"/>
    <x v="39"/>
    <n v="42.55"/>
    <n v="38"/>
    <n v="1616.8999999999999"/>
    <x v="4"/>
    <x v="4"/>
    <x v="1"/>
    <s v="Fri"/>
    <x v="5"/>
  </r>
  <r>
    <x v="33"/>
    <x v="21"/>
    <x v="35"/>
    <n v="155.61000000000001"/>
    <n v="1"/>
    <n v="155.61000000000001"/>
    <x v="8"/>
    <x v="4"/>
    <x v="1"/>
    <s v="Fri"/>
    <x v="5"/>
  </r>
  <r>
    <x v="33"/>
    <x v="17"/>
    <x v="8"/>
    <n v="83.08"/>
    <n v="7"/>
    <n v="581.55999999999995"/>
    <x v="5"/>
    <x v="4"/>
    <x v="1"/>
    <s v="Fri"/>
    <x v="5"/>
  </r>
  <r>
    <x v="33"/>
    <x v="10"/>
    <x v="8"/>
    <n v="83.08"/>
    <n v="9"/>
    <n v="747.72"/>
    <x v="2"/>
    <x v="4"/>
    <x v="1"/>
    <s v="Fri"/>
    <x v="5"/>
  </r>
  <r>
    <x v="33"/>
    <x v="30"/>
    <x v="40"/>
    <n v="49.21"/>
    <n v="6"/>
    <n v="295.26"/>
    <x v="8"/>
    <x v="4"/>
    <x v="1"/>
    <s v="Fri"/>
    <x v="5"/>
  </r>
  <r>
    <x v="34"/>
    <x v="2"/>
    <x v="41"/>
    <n v="7.8599999999999994"/>
    <n v="30"/>
    <n v="235.79999999999998"/>
    <x v="0"/>
    <x v="2"/>
    <x v="1"/>
    <s v="Sat"/>
    <x v="5"/>
  </r>
  <r>
    <x v="34"/>
    <x v="29"/>
    <x v="20"/>
    <n v="142.80000000000001"/>
    <n v="6"/>
    <n v="856.80000000000007"/>
    <x v="0"/>
    <x v="6"/>
    <x v="1"/>
    <s v="Sat"/>
    <x v="5"/>
  </r>
  <r>
    <x v="34"/>
    <x v="1"/>
    <x v="12"/>
    <n v="6.7"/>
    <n v="1"/>
    <n v="6.7"/>
    <x v="0"/>
    <x v="1"/>
    <x v="1"/>
    <s v="Sat"/>
    <x v="5"/>
  </r>
  <r>
    <x v="35"/>
    <x v="24"/>
    <x v="12"/>
    <n v="6.7"/>
    <n v="29"/>
    <n v="194.3"/>
    <x v="2"/>
    <x v="4"/>
    <x v="1"/>
    <s v="Sun"/>
    <x v="6"/>
  </r>
  <r>
    <x v="35"/>
    <x v="26"/>
    <x v="25"/>
    <n v="16.64"/>
    <n v="5"/>
    <n v="83.2"/>
    <x v="10"/>
    <x v="4"/>
    <x v="1"/>
    <s v="Sun"/>
    <x v="6"/>
  </r>
  <r>
    <x v="36"/>
    <x v="3"/>
    <x v="9"/>
    <n v="48.84"/>
    <n v="3"/>
    <n v="146.52000000000001"/>
    <x v="0"/>
    <x v="3"/>
    <x v="1"/>
    <s v="Mon"/>
    <x v="6"/>
  </r>
  <r>
    <x v="36"/>
    <x v="12"/>
    <x v="35"/>
    <n v="155.61000000000001"/>
    <n v="11"/>
    <n v="1711.71"/>
    <x v="4"/>
    <x v="4"/>
    <x v="1"/>
    <s v="Mon"/>
    <x v="6"/>
  </r>
  <r>
    <x v="36"/>
    <x v="15"/>
    <x v="18"/>
    <n v="115.2"/>
    <n v="39"/>
    <n v="4492.8"/>
    <x v="4"/>
    <x v="4"/>
    <x v="1"/>
    <s v="Mon"/>
    <x v="6"/>
  </r>
  <r>
    <x v="36"/>
    <x v="15"/>
    <x v="32"/>
    <n v="201.28"/>
    <n v="12"/>
    <n v="2415.36"/>
    <x v="4"/>
    <x v="4"/>
    <x v="1"/>
    <s v="Mon"/>
    <x v="6"/>
  </r>
  <r>
    <x v="37"/>
    <x v="17"/>
    <x v="21"/>
    <n v="58.3"/>
    <n v="14"/>
    <n v="816.19999999999993"/>
    <x v="5"/>
    <x v="4"/>
    <x v="1"/>
    <s v="Tue"/>
    <x v="6"/>
  </r>
  <r>
    <x v="37"/>
    <x v="17"/>
    <x v="30"/>
    <n v="162.54"/>
    <n v="32"/>
    <n v="5201.28"/>
    <x v="5"/>
    <x v="4"/>
    <x v="1"/>
    <s v="Tue"/>
    <x v="6"/>
  </r>
  <r>
    <x v="37"/>
    <x v="30"/>
    <x v="13"/>
    <n v="117.48"/>
    <n v="14"/>
    <n v="1644.72"/>
    <x v="8"/>
    <x v="4"/>
    <x v="1"/>
    <s v="Tue"/>
    <x v="6"/>
  </r>
  <r>
    <x v="38"/>
    <x v="31"/>
    <x v="14"/>
    <n v="210"/>
    <n v="4"/>
    <n v="840"/>
    <x v="9"/>
    <x v="4"/>
    <x v="1"/>
    <s v="Wed"/>
    <x v="6"/>
  </r>
  <r>
    <x v="38"/>
    <x v="18"/>
    <x v="26"/>
    <n v="94.62"/>
    <n v="38"/>
    <n v="3595.5600000000004"/>
    <x v="0"/>
    <x v="5"/>
    <x v="1"/>
    <s v="Wed"/>
    <x v="6"/>
  </r>
  <r>
    <x v="39"/>
    <x v="16"/>
    <x v="27"/>
    <n v="149.46"/>
    <n v="9"/>
    <n v="1345.14"/>
    <x v="6"/>
    <x v="4"/>
    <x v="1"/>
    <s v="Fri"/>
    <x v="6"/>
  </r>
  <r>
    <x v="39"/>
    <x v="0"/>
    <x v="5"/>
    <n v="164.28"/>
    <n v="13"/>
    <n v="2135.64"/>
    <x v="0"/>
    <x v="0"/>
    <x v="1"/>
    <s v="Fri"/>
    <x v="6"/>
  </r>
  <r>
    <x v="39"/>
    <x v="28"/>
    <x v="26"/>
    <n v="94.62"/>
    <n v="7"/>
    <n v="662.34"/>
    <x v="11"/>
    <x v="4"/>
    <x v="1"/>
    <s v="Fri"/>
    <x v="6"/>
  </r>
  <r>
    <x v="40"/>
    <x v="0"/>
    <x v="19"/>
    <n v="80.94"/>
    <n v="17"/>
    <n v="1375.98"/>
    <x v="0"/>
    <x v="0"/>
    <x v="1"/>
    <s v="Sat"/>
    <x v="6"/>
  </r>
  <r>
    <x v="40"/>
    <x v="19"/>
    <x v="35"/>
    <n v="155.61000000000001"/>
    <n v="35"/>
    <n v="5446.35"/>
    <x v="4"/>
    <x v="4"/>
    <x v="1"/>
    <s v="Sat"/>
    <x v="6"/>
  </r>
  <r>
    <x v="41"/>
    <x v="16"/>
    <x v="37"/>
    <n v="41.81"/>
    <n v="3"/>
    <n v="125.43"/>
    <x v="6"/>
    <x v="4"/>
    <x v="1"/>
    <s v="Sun"/>
    <x v="7"/>
  </r>
  <r>
    <x v="41"/>
    <x v="20"/>
    <x v="21"/>
    <n v="58.3"/>
    <n v="8"/>
    <n v="466.4"/>
    <x v="7"/>
    <x v="4"/>
    <x v="1"/>
    <s v="Sun"/>
    <x v="7"/>
  </r>
  <r>
    <x v="41"/>
    <x v="30"/>
    <x v="42"/>
    <n v="24.66"/>
    <n v="8"/>
    <n v="197.28"/>
    <x v="8"/>
    <x v="4"/>
    <x v="1"/>
    <s v="Sun"/>
    <x v="7"/>
  </r>
  <r>
    <x v="42"/>
    <x v="16"/>
    <x v="10"/>
    <n v="53.11"/>
    <n v="28"/>
    <n v="1487.08"/>
    <x v="6"/>
    <x v="4"/>
    <x v="1"/>
    <s v="Mon"/>
    <x v="7"/>
  </r>
  <r>
    <x v="42"/>
    <x v="15"/>
    <x v="36"/>
    <n v="57.120000000000005"/>
    <n v="4"/>
    <n v="228.48000000000002"/>
    <x v="4"/>
    <x v="4"/>
    <x v="1"/>
    <s v="Mon"/>
    <x v="7"/>
  </r>
  <r>
    <x v="43"/>
    <x v="0"/>
    <x v="4"/>
    <n v="15.719999999999999"/>
    <n v="26"/>
    <n v="408.71999999999997"/>
    <x v="0"/>
    <x v="0"/>
    <x v="1"/>
    <s v="Tue"/>
    <x v="7"/>
  </r>
  <r>
    <x v="43"/>
    <x v="7"/>
    <x v="13"/>
    <n v="117.48"/>
    <n v="1"/>
    <n v="117.48"/>
    <x v="1"/>
    <x v="4"/>
    <x v="1"/>
    <s v="Tue"/>
    <x v="7"/>
  </r>
  <r>
    <x v="44"/>
    <x v="28"/>
    <x v="8"/>
    <n v="83.08"/>
    <n v="19"/>
    <n v="1578.52"/>
    <x v="11"/>
    <x v="4"/>
    <x v="1"/>
    <s v="Wed"/>
    <x v="7"/>
  </r>
  <r>
    <x v="44"/>
    <x v="28"/>
    <x v="3"/>
    <n v="119.7"/>
    <n v="19"/>
    <n v="2274.3000000000002"/>
    <x v="11"/>
    <x v="4"/>
    <x v="1"/>
    <s v="Wed"/>
    <x v="7"/>
  </r>
  <r>
    <x v="44"/>
    <x v="25"/>
    <x v="28"/>
    <n v="82.08"/>
    <n v="2"/>
    <n v="164.16"/>
    <x v="0"/>
    <x v="2"/>
    <x v="1"/>
    <s v="Wed"/>
    <x v="7"/>
  </r>
  <r>
    <x v="45"/>
    <x v="28"/>
    <x v="4"/>
    <n v="15.719999999999999"/>
    <n v="6"/>
    <n v="94.32"/>
    <x v="11"/>
    <x v="4"/>
    <x v="1"/>
    <s v="Thu"/>
    <x v="7"/>
  </r>
  <r>
    <x v="46"/>
    <x v="0"/>
    <x v="20"/>
    <n v="142.80000000000001"/>
    <n v="13"/>
    <n v="1856.4"/>
    <x v="0"/>
    <x v="0"/>
    <x v="1"/>
    <s v="Fri"/>
    <x v="7"/>
  </r>
  <r>
    <x v="47"/>
    <x v="29"/>
    <x v="11"/>
    <n v="94.17"/>
    <n v="6"/>
    <n v="565.02"/>
    <x v="0"/>
    <x v="6"/>
    <x v="1"/>
    <s v="Sat"/>
    <x v="7"/>
  </r>
  <r>
    <x v="47"/>
    <x v="19"/>
    <x v="32"/>
    <n v="201.28"/>
    <n v="11"/>
    <n v="2214.08"/>
    <x v="4"/>
    <x v="4"/>
    <x v="1"/>
    <s v="Sat"/>
    <x v="7"/>
  </r>
  <r>
    <x v="48"/>
    <x v="31"/>
    <x v="40"/>
    <n v="49.21"/>
    <n v="30"/>
    <n v="1476.3"/>
    <x v="9"/>
    <x v="4"/>
    <x v="1"/>
    <s v="Sun"/>
    <x v="8"/>
  </r>
  <r>
    <x v="49"/>
    <x v="10"/>
    <x v="6"/>
    <n v="122.08"/>
    <n v="5"/>
    <n v="610.4"/>
    <x v="2"/>
    <x v="4"/>
    <x v="1"/>
    <s v="Mon"/>
    <x v="8"/>
  </r>
  <r>
    <x v="50"/>
    <x v="16"/>
    <x v="6"/>
    <n v="122.08"/>
    <n v="6"/>
    <n v="732.48"/>
    <x v="6"/>
    <x v="4"/>
    <x v="1"/>
    <s v="Tue"/>
    <x v="8"/>
  </r>
  <r>
    <x v="50"/>
    <x v="13"/>
    <x v="17"/>
    <n v="8.33"/>
    <n v="3"/>
    <n v="24.990000000000002"/>
    <x v="5"/>
    <x v="4"/>
    <x v="1"/>
    <s v="Tue"/>
    <x v="8"/>
  </r>
  <r>
    <x v="50"/>
    <x v="5"/>
    <x v="25"/>
    <n v="16.64"/>
    <n v="15"/>
    <n v="249.60000000000002"/>
    <x v="0"/>
    <x v="2"/>
    <x v="1"/>
    <s v="Tue"/>
    <x v="8"/>
  </r>
  <r>
    <x v="50"/>
    <x v="23"/>
    <x v="35"/>
    <n v="155.61000000000001"/>
    <n v="2"/>
    <n v="311.22000000000003"/>
    <x v="0"/>
    <x v="6"/>
    <x v="1"/>
    <s v="Tue"/>
    <x v="8"/>
  </r>
  <r>
    <x v="50"/>
    <x v="19"/>
    <x v="43"/>
    <n v="96.3"/>
    <n v="8"/>
    <n v="770.4"/>
    <x v="4"/>
    <x v="4"/>
    <x v="1"/>
    <s v="Tue"/>
    <x v="8"/>
  </r>
  <r>
    <x v="51"/>
    <x v="23"/>
    <x v="6"/>
    <n v="122.08"/>
    <n v="10"/>
    <n v="1220.8"/>
    <x v="0"/>
    <x v="6"/>
    <x v="1"/>
    <s v="Thu"/>
    <x v="8"/>
  </r>
  <r>
    <x v="51"/>
    <x v="29"/>
    <x v="39"/>
    <n v="42.55"/>
    <n v="38"/>
    <n v="1616.8999999999999"/>
    <x v="0"/>
    <x v="6"/>
    <x v="1"/>
    <s v="Thu"/>
    <x v="8"/>
  </r>
  <r>
    <x v="51"/>
    <x v="26"/>
    <x v="13"/>
    <n v="117.48"/>
    <n v="11"/>
    <n v="1292.28"/>
    <x v="10"/>
    <x v="4"/>
    <x v="1"/>
    <s v="Thu"/>
    <x v="8"/>
  </r>
  <r>
    <x v="51"/>
    <x v="27"/>
    <x v="32"/>
    <n v="201.28"/>
    <n v="2"/>
    <n v="402.56"/>
    <x v="0"/>
    <x v="1"/>
    <x v="1"/>
    <s v="Thu"/>
    <x v="8"/>
  </r>
  <r>
    <x v="51"/>
    <x v="1"/>
    <x v="20"/>
    <n v="142.80000000000001"/>
    <n v="4"/>
    <n v="571.20000000000005"/>
    <x v="0"/>
    <x v="1"/>
    <x v="1"/>
    <s v="Thu"/>
    <x v="8"/>
  </r>
  <r>
    <x v="52"/>
    <x v="28"/>
    <x v="0"/>
    <n v="156.96"/>
    <n v="28"/>
    <n v="4394.88"/>
    <x v="11"/>
    <x v="4"/>
    <x v="1"/>
    <s v="Fri"/>
    <x v="8"/>
  </r>
  <r>
    <x v="52"/>
    <x v="10"/>
    <x v="41"/>
    <n v="7.8599999999999994"/>
    <n v="2"/>
    <n v="15.719999999999999"/>
    <x v="2"/>
    <x v="4"/>
    <x v="1"/>
    <s v="Fri"/>
    <x v="8"/>
  </r>
  <r>
    <x v="53"/>
    <x v="32"/>
    <x v="17"/>
    <n v="8.33"/>
    <n v="7"/>
    <n v="58.31"/>
    <x v="0"/>
    <x v="5"/>
    <x v="1"/>
    <s v="Sat"/>
    <x v="8"/>
  </r>
  <r>
    <x v="53"/>
    <x v="5"/>
    <x v="43"/>
    <n v="96.3"/>
    <n v="3"/>
    <n v="288.89999999999998"/>
    <x v="0"/>
    <x v="2"/>
    <x v="1"/>
    <s v="Sat"/>
    <x v="8"/>
  </r>
  <r>
    <x v="53"/>
    <x v="29"/>
    <x v="40"/>
    <n v="49.21"/>
    <n v="11"/>
    <n v="541.31000000000006"/>
    <x v="0"/>
    <x v="6"/>
    <x v="1"/>
    <s v="Sat"/>
    <x v="8"/>
  </r>
  <r>
    <x v="53"/>
    <x v="19"/>
    <x v="35"/>
    <n v="155.61000000000001"/>
    <n v="15"/>
    <n v="2334.15"/>
    <x v="4"/>
    <x v="4"/>
    <x v="1"/>
    <s v="Sat"/>
    <x v="8"/>
  </r>
  <r>
    <x v="53"/>
    <x v="30"/>
    <x v="11"/>
    <n v="94.17"/>
    <n v="7"/>
    <n v="659.19"/>
    <x v="8"/>
    <x v="4"/>
    <x v="1"/>
    <s v="Sat"/>
    <x v="8"/>
  </r>
  <r>
    <x v="54"/>
    <x v="7"/>
    <x v="22"/>
    <n v="85.76"/>
    <n v="15"/>
    <n v="1286.4000000000001"/>
    <x v="1"/>
    <x v="4"/>
    <x v="1"/>
    <s v="Sun"/>
    <x v="9"/>
  </r>
  <r>
    <x v="55"/>
    <x v="25"/>
    <x v="37"/>
    <n v="41.81"/>
    <n v="28"/>
    <n v="1170.68"/>
    <x v="0"/>
    <x v="2"/>
    <x v="2"/>
    <s v="Mon"/>
    <x v="9"/>
  </r>
  <r>
    <x v="56"/>
    <x v="28"/>
    <x v="0"/>
    <n v="156.96"/>
    <n v="21"/>
    <n v="3296.1600000000003"/>
    <x v="11"/>
    <x v="4"/>
    <x v="2"/>
    <s v="Tue"/>
    <x v="9"/>
  </r>
  <r>
    <x v="56"/>
    <x v="9"/>
    <x v="20"/>
    <n v="142.80000000000001"/>
    <n v="1"/>
    <n v="142.80000000000001"/>
    <x v="0"/>
    <x v="0"/>
    <x v="2"/>
    <s v="Tue"/>
    <x v="9"/>
  </r>
  <r>
    <x v="56"/>
    <x v="29"/>
    <x v="31"/>
    <n v="103.88"/>
    <n v="30"/>
    <n v="3116.3999999999996"/>
    <x v="0"/>
    <x v="6"/>
    <x v="2"/>
    <s v="Tue"/>
    <x v="9"/>
  </r>
  <r>
    <x v="57"/>
    <x v="13"/>
    <x v="23"/>
    <n v="48.4"/>
    <n v="1"/>
    <n v="48.4"/>
    <x v="5"/>
    <x v="4"/>
    <x v="2"/>
    <s v="Wed"/>
    <x v="9"/>
  </r>
  <r>
    <x v="57"/>
    <x v="32"/>
    <x v="43"/>
    <n v="96.3"/>
    <n v="29"/>
    <n v="2792.7"/>
    <x v="0"/>
    <x v="5"/>
    <x v="2"/>
    <s v="Wed"/>
    <x v="9"/>
  </r>
  <r>
    <x v="58"/>
    <x v="9"/>
    <x v="42"/>
    <n v="24.66"/>
    <n v="13"/>
    <n v="320.58"/>
    <x v="0"/>
    <x v="0"/>
    <x v="2"/>
    <s v="Thu"/>
    <x v="9"/>
  </r>
  <r>
    <x v="58"/>
    <x v="25"/>
    <x v="9"/>
    <n v="48.84"/>
    <n v="23"/>
    <n v="1123.3200000000002"/>
    <x v="0"/>
    <x v="2"/>
    <x v="2"/>
    <s v="Thu"/>
    <x v="9"/>
  </r>
  <r>
    <x v="58"/>
    <x v="26"/>
    <x v="17"/>
    <n v="8.33"/>
    <n v="26"/>
    <n v="216.58"/>
    <x v="10"/>
    <x v="4"/>
    <x v="2"/>
    <s v="Thu"/>
    <x v="9"/>
  </r>
  <r>
    <x v="59"/>
    <x v="29"/>
    <x v="18"/>
    <n v="115.2"/>
    <n v="33"/>
    <n v="3801.6"/>
    <x v="0"/>
    <x v="6"/>
    <x v="2"/>
    <s v="Fri"/>
    <x v="9"/>
  </r>
  <r>
    <x v="60"/>
    <x v="9"/>
    <x v="9"/>
    <n v="48.84"/>
    <n v="2"/>
    <n v="97.68"/>
    <x v="0"/>
    <x v="0"/>
    <x v="2"/>
    <s v="Sat"/>
    <x v="9"/>
  </r>
  <r>
    <x v="61"/>
    <x v="16"/>
    <x v="19"/>
    <n v="80.94"/>
    <n v="1"/>
    <n v="80.94"/>
    <x v="6"/>
    <x v="4"/>
    <x v="2"/>
    <s v="Sun"/>
    <x v="10"/>
  </r>
  <r>
    <x v="61"/>
    <x v="0"/>
    <x v="30"/>
    <n v="162.54"/>
    <n v="9"/>
    <n v="1462.86"/>
    <x v="0"/>
    <x v="0"/>
    <x v="2"/>
    <s v="Sun"/>
    <x v="10"/>
  </r>
  <r>
    <x v="61"/>
    <x v="32"/>
    <x v="33"/>
    <n v="156.78"/>
    <n v="25"/>
    <n v="3919.5"/>
    <x v="0"/>
    <x v="5"/>
    <x v="2"/>
    <s v="Sun"/>
    <x v="10"/>
  </r>
  <r>
    <x v="62"/>
    <x v="2"/>
    <x v="1"/>
    <n v="141.57"/>
    <n v="22"/>
    <n v="3114.54"/>
    <x v="0"/>
    <x v="2"/>
    <x v="2"/>
    <s v="Mon"/>
    <x v="10"/>
  </r>
  <r>
    <x v="62"/>
    <x v="9"/>
    <x v="28"/>
    <n v="82.08"/>
    <n v="9"/>
    <n v="738.72"/>
    <x v="0"/>
    <x v="0"/>
    <x v="2"/>
    <s v="Mon"/>
    <x v="10"/>
  </r>
  <r>
    <x v="62"/>
    <x v="26"/>
    <x v="36"/>
    <n v="57.120000000000005"/>
    <n v="6"/>
    <n v="342.72"/>
    <x v="10"/>
    <x v="4"/>
    <x v="2"/>
    <s v="Mon"/>
    <x v="10"/>
  </r>
  <r>
    <x v="62"/>
    <x v="30"/>
    <x v="28"/>
    <n v="82.08"/>
    <n v="6"/>
    <n v="492.48"/>
    <x v="8"/>
    <x v="4"/>
    <x v="2"/>
    <s v="Mon"/>
    <x v="10"/>
  </r>
  <r>
    <x v="63"/>
    <x v="31"/>
    <x v="32"/>
    <n v="201.28"/>
    <n v="3"/>
    <n v="603.84"/>
    <x v="9"/>
    <x v="4"/>
    <x v="2"/>
    <s v="Tue"/>
    <x v="10"/>
  </r>
  <r>
    <x v="63"/>
    <x v="17"/>
    <x v="9"/>
    <n v="48.84"/>
    <n v="11"/>
    <n v="537.24"/>
    <x v="5"/>
    <x v="4"/>
    <x v="2"/>
    <s v="Tue"/>
    <x v="10"/>
  </r>
  <r>
    <x v="63"/>
    <x v="9"/>
    <x v="10"/>
    <n v="53.11"/>
    <n v="6"/>
    <n v="318.65999999999997"/>
    <x v="0"/>
    <x v="0"/>
    <x v="2"/>
    <s v="Tue"/>
    <x v="10"/>
  </r>
  <r>
    <x v="64"/>
    <x v="33"/>
    <x v="3"/>
    <n v="119.7"/>
    <n v="12"/>
    <n v="1436.4"/>
    <x v="12"/>
    <x v="4"/>
    <x v="2"/>
    <s v="Wed"/>
    <x v="10"/>
  </r>
  <r>
    <x v="64"/>
    <x v="17"/>
    <x v="20"/>
    <n v="142.80000000000001"/>
    <n v="6"/>
    <n v="856.80000000000007"/>
    <x v="5"/>
    <x v="4"/>
    <x v="2"/>
    <s v="Wed"/>
    <x v="10"/>
  </r>
  <r>
    <x v="65"/>
    <x v="22"/>
    <x v="13"/>
    <n v="117.48"/>
    <n v="8"/>
    <n v="939.84"/>
    <x v="9"/>
    <x v="4"/>
    <x v="2"/>
    <s v="Thu"/>
    <x v="10"/>
  </r>
  <r>
    <x v="65"/>
    <x v="9"/>
    <x v="17"/>
    <n v="8.33"/>
    <n v="11"/>
    <n v="91.63"/>
    <x v="0"/>
    <x v="0"/>
    <x v="2"/>
    <s v="Thu"/>
    <x v="10"/>
  </r>
  <r>
    <x v="65"/>
    <x v="1"/>
    <x v="11"/>
    <n v="94.17"/>
    <n v="36"/>
    <n v="3390.12"/>
    <x v="0"/>
    <x v="1"/>
    <x v="2"/>
    <s v="Thu"/>
    <x v="10"/>
  </r>
  <r>
    <x v="66"/>
    <x v="13"/>
    <x v="12"/>
    <n v="6.7"/>
    <n v="10"/>
    <n v="67"/>
    <x v="5"/>
    <x v="4"/>
    <x v="2"/>
    <s v="Sat"/>
    <x v="10"/>
  </r>
  <r>
    <x v="66"/>
    <x v="23"/>
    <x v="37"/>
    <n v="41.81"/>
    <n v="10"/>
    <n v="418.1"/>
    <x v="0"/>
    <x v="6"/>
    <x v="2"/>
    <s v="Sat"/>
    <x v="10"/>
  </r>
  <r>
    <x v="67"/>
    <x v="31"/>
    <x v="1"/>
    <n v="141.57"/>
    <n v="15"/>
    <n v="2123.5499999999997"/>
    <x v="9"/>
    <x v="4"/>
    <x v="2"/>
    <s v="Sun"/>
    <x v="11"/>
  </r>
  <r>
    <x v="67"/>
    <x v="28"/>
    <x v="25"/>
    <n v="16.64"/>
    <n v="2"/>
    <n v="33.28"/>
    <x v="11"/>
    <x v="4"/>
    <x v="2"/>
    <s v="Sun"/>
    <x v="11"/>
  </r>
  <r>
    <x v="67"/>
    <x v="10"/>
    <x v="24"/>
    <n v="162"/>
    <n v="32"/>
    <n v="5184"/>
    <x v="2"/>
    <x v="4"/>
    <x v="2"/>
    <s v="Sun"/>
    <x v="11"/>
  </r>
  <r>
    <x v="67"/>
    <x v="7"/>
    <x v="42"/>
    <n v="24.66"/>
    <n v="13"/>
    <n v="320.58"/>
    <x v="1"/>
    <x v="4"/>
    <x v="2"/>
    <s v="Sun"/>
    <x v="11"/>
  </r>
  <r>
    <x v="68"/>
    <x v="23"/>
    <x v="43"/>
    <n v="96.3"/>
    <n v="9"/>
    <n v="866.69999999999993"/>
    <x v="0"/>
    <x v="6"/>
    <x v="2"/>
    <s v="Mon"/>
    <x v="11"/>
  </r>
  <r>
    <x v="68"/>
    <x v="29"/>
    <x v="39"/>
    <n v="42.55"/>
    <n v="11"/>
    <n v="468.04999999999995"/>
    <x v="0"/>
    <x v="6"/>
    <x v="2"/>
    <s v="Mon"/>
    <x v="11"/>
  </r>
  <r>
    <x v="69"/>
    <x v="31"/>
    <x v="11"/>
    <n v="94.17"/>
    <n v="14"/>
    <n v="1318.38"/>
    <x v="9"/>
    <x v="4"/>
    <x v="2"/>
    <s v="Tue"/>
    <x v="11"/>
  </r>
  <r>
    <x v="69"/>
    <x v="30"/>
    <x v="1"/>
    <n v="141.57"/>
    <n v="29"/>
    <n v="4105.53"/>
    <x v="8"/>
    <x v="4"/>
    <x v="2"/>
    <s v="Tue"/>
    <x v="11"/>
  </r>
  <r>
    <x v="70"/>
    <x v="31"/>
    <x v="24"/>
    <n v="162"/>
    <n v="8"/>
    <n v="1296"/>
    <x v="9"/>
    <x v="4"/>
    <x v="2"/>
    <s v="Thu"/>
    <x v="11"/>
  </r>
  <r>
    <x v="70"/>
    <x v="24"/>
    <x v="14"/>
    <n v="210"/>
    <n v="2"/>
    <n v="420"/>
    <x v="2"/>
    <x v="4"/>
    <x v="2"/>
    <s v="Thu"/>
    <x v="11"/>
  </r>
  <r>
    <x v="70"/>
    <x v="13"/>
    <x v="36"/>
    <n v="57.120000000000005"/>
    <n v="10"/>
    <n v="571.20000000000005"/>
    <x v="5"/>
    <x v="4"/>
    <x v="2"/>
    <s v="Thu"/>
    <x v="11"/>
  </r>
  <r>
    <x v="71"/>
    <x v="15"/>
    <x v="39"/>
    <n v="42.55"/>
    <n v="18"/>
    <n v="765.9"/>
    <x v="4"/>
    <x v="4"/>
    <x v="2"/>
    <s v="Fri"/>
    <x v="11"/>
  </r>
  <r>
    <x v="71"/>
    <x v="28"/>
    <x v="34"/>
    <n v="85.5"/>
    <n v="17"/>
    <n v="1453.5"/>
    <x v="11"/>
    <x v="4"/>
    <x v="2"/>
    <s v="Fri"/>
    <x v="11"/>
  </r>
  <r>
    <x v="71"/>
    <x v="20"/>
    <x v="37"/>
    <n v="41.81"/>
    <n v="9"/>
    <n v="376.29"/>
    <x v="7"/>
    <x v="4"/>
    <x v="2"/>
    <s v="Fri"/>
    <x v="11"/>
  </r>
  <r>
    <x v="71"/>
    <x v="25"/>
    <x v="34"/>
    <n v="85.5"/>
    <n v="17"/>
    <n v="1453.5"/>
    <x v="0"/>
    <x v="2"/>
    <x v="2"/>
    <s v="Fri"/>
    <x v="11"/>
  </r>
  <r>
    <x v="71"/>
    <x v="14"/>
    <x v="20"/>
    <n v="142.80000000000001"/>
    <n v="15"/>
    <n v="2142"/>
    <x v="0"/>
    <x v="3"/>
    <x v="2"/>
    <s v="Fri"/>
    <x v="11"/>
  </r>
  <r>
    <x v="71"/>
    <x v="27"/>
    <x v="38"/>
    <n v="173.88"/>
    <n v="6"/>
    <n v="1043.28"/>
    <x v="0"/>
    <x v="1"/>
    <x v="2"/>
    <s v="Fri"/>
    <x v="11"/>
  </r>
  <r>
    <x v="72"/>
    <x v="33"/>
    <x v="0"/>
    <n v="156.96"/>
    <n v="23"/>
    <n v="3610.0800000000004"/>
    <x v="12"/>
    <x v="4"/>
    <x v="2"/>
    <s v="Sat"/>
    <x v="11"/>
  </r>
  <r>
    <x v="72"/>
    <x v="4"/>
    <x v="2"/>
    <n v="79.92"/>
    <n v="21"/>
    <n v="1678.32"/>
    <x v="0"/>
    <x v="3"/>
    <x v="2"/>
    <s v="Sat"/>
    <x v="11"/>
  </r>
  <r>
    <x v="72"/>
    <x v="5"/>
    <x v="25"/>
    <n v="16.64"/>
    <n v="13"/>
    <n v="216.32"/>
    <x v="0"/>
    <x v="2"/>
    <x v="2"/>
    <s v="Sat"/>
    <x v="11"/>
  </r>
  <r>
    <x v="73"/>
    <x v="13"/>
    <x v="39"/>
    <n v="42.55"/>
    <n v="7"/>
    <n v="297.84999999999997"/>
    <x v="5"/>
    <x v="4"/>
    <x v="2"/>
    <s v="Sun"/>
    <x v="12"/>
  </r>
  <r>
    <x v="73"/>
    <x v="32"/>
    <x v="31"/>
    <n v="103.88"/>
    <n v="18"/>
    <n v="1869.84"/>
    <x v="0"/>
    <x v="5"/>
    <x v="2"/>
    <s v="Sun"/>
    <x v="12"/>
  </r>
  <r>
    <x v="73"/>
    <x v="5"/>
    <x v="29"/>
    <n v="76.25"/>
    <n v="13"/>
    <n v="991.25"/>
    <x v="0"/>
    <x v="2"/>
    <x v="2"/>
    <s v="Sun"/>
    <x v="12"/>
  </r>
  <r>
    <x v="74"/>
    <x v="32"/>
    <x v="20"/>
    <n v="142.80000000000001"/>
    <n v="8"/>
    <n v="1142.4000000000001"/>
    <x v="0"/>
    <x v="5"/>
    <x v="2"/>
    <s v="Mon"/>
    <x v="12"/>
  </r>
  <r>
    <x v="74"/>
    <x v="23"/>
    <x v="11"/>
    <n v="94.17"/>
    <n v="4"/>
    <n v="376.68"/>
    <x v="0"/>
    <x v="6"/>
    <x v="2"/>
    <s v="Mon"/>
    <x v="12"/>
  </r>
  <r>
    <x v="74"/>
    <x v="26"/>
    <x v="36"/>
    <n v="57.120000000000005"/>
    <n v="30"/>
    <n v="1713.6000000000001"/>
    <x v="10"/>
    <x v="4"/>
    <x v="2"/>
    <s v="Mon"/>
    <x v="12"/>
  </r>
  <r>
    <x v="75"/>
    <x v="27"/>
    <x v="13"/>
    <n v="117.48"/>
    <n v="9"/>
    <n v="1057.32"/>
    <x v="0"/>
    <x v="1"/>
    <x v="2"/>
    <s v="Tue"/>
    <x v="12"/>
  </r>
  <r>
    <x v="76"/>
    <x v="3"/>
    <x v="10"/>
    <n v="53.11"/>
    <n v="8"/>
    <n v="424.88"/>
    <x v="0"/>
    <x v="3"/>
    <x v="2"/>
    <s v="Thu"/>
    <x v="12"/>
  </r>
  <r>
    <x v="76"/>
    <x v="31"/>
    <x v="31"/>
    <n v="103.88"/>
    <n v="2"/>
    <n v="207.76"/>
    <x v="9"/>
    <x v="4"/>
    <x v="2"/>
    <s v="Thu"/>
    <x v="12"/>
  </r>
  <r>
    <x v="76"/>
    <x v="31"/>
    <x v="33"/>
    <n v="156.78"/>
    <n v="26"/>
    <n v="4076.28"/>
    <x v="9"/>
    <x v="4"/>
    <x v="2"/>
    <s v="Thu"/>
    <x v="12"/>
  </r>
  <r>
    <x v="76"/>
    <x v="13"/>
    <x v="32"/>
    <n v="201.28"/>
    <n v="11"/>
    <n v="2214.08"/>
    <x v="5"/>
    <x v="4"/>
    <x v="2"/>
    <s v="Thu"/>
    <x v="12"/>
  </r>
  <r>
    <x v="76"/>
    <x v="23"/>
    <x v="0"/>
    <n v="156.96"/>
    <n v="14"/>
    <n v="2197.44"/>
    <x v="0"/>
    <x v="6"/>
    <x v="2"/>
    <s v="Thu"/>
    <x v="12"/>
  </r>
  <r>
    <x v="76"/>
    <x v="28"/>
    <x v="34"/>
    <n v="85.5"/>
    <n v="4"/>
    <n v="342"/>
    <x v="11"/>
    <x v="4"/>
    <x v="2"/>
    <s v="Thu"/>
    <x v="12"/>
  </r>
  <r>
    <x v="76"/>
    <x v="29"/>
    <x v="2"/>
    <n v="79.92"/>
    <n v="2"/>
    <n v="159.84"/>
    <x v="0"/>
    <x v="6"/>
    <x v="2"/>
    <s v="Thu"/>
    <x v="12"/>
  </r>
  <r>
    <x v="77"/>
    <x v="15"/>
    <x v="5"/>
    <n v="164.28"/>
    <n v="9"/>
    <n v="1478.52"/>
    <x v="4"/>
    <x v="4"/>
    <x v="2"/>
    <s v="Fri"/>
    <x v="12"/>
  </r>
  <r>
    <x v="77"/>
    <x v="0"/>
    <x v="31"/>
    <n v="103.88"/>
    <n v="4"/>
    <n v="415.52"/>
    <x v="0"/>
    <x v="0"/>
    <x v="2"/>
    <s v="Fri"/>
    <x v="12"/>
  </r>
  <r>
    <x v="77"/>
    <x v="5"/>
    <x v="24"/>
    <n v="162"/>
    <n v="1"/>
    <n v="162"/>
    <x v="0"/>
    <x v="2"/>
    <x v="2"/>
    <s v="Fri"/>
    <x v="12"/>
  </r>
  <r>
    <x v="77"/>
    <x v="30"/>
    <x v="3"/>
    <n v="119.7"/>
    <n v="25"/>
    <n v="2992.5"/>
    <x v="8"/>
    <x v="4"/>
    <x v="2"/>
    <s v="Fri"/>
    <x v="12"/>
  </r>
  <r>
    <x v="78"/>
    <x v="19"/>
    <x v="32"/>
    <n v="201.28"/>
    <n v="3"/>
    <n v="603.84"/>
    <x v="4"/>
    <x v="4"/>
    <x v="2"/>
    <s v="Sat"/>
    <x v="12"/>
  </r>
  <r>
    <x v="79"/>
    <x v="16"/>
    <x v="18"/>
    <n v="115.2"/>
    <n v="13"/>
    <n v="1497.6000000000001"/>
    <x v="6"/>
    <x v="4"/>
    <x v="2"/>
    <s v="Sun"/>
    <x v="13"/>
  </r>
  <r>
    <x v="79"/>
    <x v="33"/>
    <x v="22"/>
    <n v="85.76"/>
    <n v="3"/>
    <n v="257.28000000000003"/>
    <x v="12"/>
    <x v="4"/>
    <x v="2"/>
    <s v="Sun"/>
    <x v="13"/>
  </r>
  <r>
    <x v="79"/>
    <x v="14"/>
    <x v="15"/>
    <n v="47.730000000000004"/>
    <n v="8"/>
    <n v="381.84000000000003"/>
    <x v="0"/>
    <x v="3"/>
    <x v="2"/>
    <s v="Sun"/>
    <x v="13"/>
  </r>
  <r>
    <x v="80"/>
    <x v="33"/>
    <x v="13"/>
    <n v="117.48"/>
    <n v="12"/>
    <n v="1409.76"/>
    <x v="12"/>
    <x v="4"/>
    <x v="2"/>
    <s v="Mon"/>
    <x v="13"/>
  </r>
  <r>
    <x v="80"/>
    <x v="26"/>
    <x v="12"/>
    <n v="6.7"/>
    <n v="32"/>
    <n v="214.4"/>
    <x v="10"/>
    <x v="4"/>
    <x v="2"/>
    <s v="Mon"/>
    <x v="13"/>
  </r>
  <r>
    <x v="81"/>
    <x v="31"/>
    <x v="2"/>
    <n v="79.92"/>
    <n v="1"/>
    <n v="79.92"/>
    <x v="9"/>
    <x v="4"/>
    <x v="2"/>
    <s v="Tue"/>
    <x v="13"/>
  </r>
  <r>
    <x v="81"/>
    <x v="23"/>
    <x v="31"/>
    <n v="103.88"/>
    <n v="13"/>
    <n v="1350.44"/>
    <x v="0"/>
    <x v="6"/>
    <x v="2"/>
    <s v="Tue"/>
    <x v="13"/>
  </r>
  <r>
    <x v="82"/>
    <x v="9"/>
    <x v="24"/>
    <n v="162"/>
    <n v="3"/>
    <n v="486"/>
    <x v="0"/>
    <x v="0"/>
    <x v="2"/>
    <s v="Wed"/>
    <x v="13"/>
  </r>
  <r>
    <x v="82"/>
    <x v="30"/>
    <x v="35"/>
    <n v="155.61000000000001"/>
    <n v="33"/>
    <n v="5135.13"/>
    <x v="8"/>
    <x v="4"/>
    <x v="2"/>
    <s v="Wed"/>
    <x v="13"/>
  </r>
  <r>
    <x v="83"/>
    <x v="24"/>
    <x v="23"/>
    <n v="48.4"/>
    <n v="3"/>
    <n v="145.19999999999999"/>
    <x v="2"/>
    <x v="4"/>
    <x v="3"/>
    <s v="Thu"/>
    <x v="13"/>
  </r>
  <r>
    <x v="83"/>
    <x v="1"/>
    <x v="20"/>
    <n v="142.80000000000001"/>
    <n v="2"/>
    <n v="285.60000000000002"/>
    <x v="0"/>
    <x v="1"/>
    <x v="3"/>
    <s v="Thu"/>
    <x v="13"/>
  </r>
  <r>
    <x v="84"/>
    <x v="33"/>
    <x v="22"/>
    <n v="85.76"/>
    <n v="24"/>
    <n v="2058.2400000000002"/>
    <x v="12"/>
    <x v="4"/>
    <x v="3"/>
    <s v="Fri"/>
    <x v="13"/>
  </r>
  <r>
    <x v="84"/>
    <x v="32"/>
    <x v="20"/>
    <n v="142.80000000000001"/>
    <n v="3"/>
    <n v="428.40000000000003"/>
    <x v="0"/>
    <x v="5"/>
    <x v="3"/>
    <s v="Fri"/>
    <x v="13"/>
  </r>
  <r>
    <x v="85"/>
    <x v="33"/>
    <x v="41"/>
    <n v="7.8599999999999994"/>
    <n v="9"/>
    <n v="70.739999999999995"/>
    <x v="12"/>
    <x v="4"/>
    <x v="3"/>
    <s v="Sun"/>
    <x v="14"/>
  </r>
  <r>
    <x v="85"/>
    <x v="31"/>
    <x v="21"/>
    <n v="58.3"/>
    <n v="20"/>
    <n v="1166"/>
    <x v="9"/>
    <x v="4"/>
    <x v="3"/>
    <s v="Sun"/>
    <x v="14"/>
  </r>
  <r>
    <x v="85"/>
    <x v="19"/>
    <x v="18"/>
    <n v="115.2"/>
    <n v="4"/>
    <n v="460.8"/>
    <x v="4"/>
    <x v="4"/>
    <x v="3"/>
    <s v="Sun"/>
    <x v="14"/>
  </r>
  <r>
    <x v="86"/>
    <x v="0"/>
    <x v="31"/>
    <n v="103.88"/>
    <n v="34"/>
    <n v="3531.92"/>
    <x v="0"/>
    <x v="0"/>
    <x v="3"/>
    <s v="Mon"/>
    <x v="14"/>
  </r>
  <r>
    <x v="86"/>
    <x v="20"/>
    <x v="16"/>
    <n v="104.16"/>
    <n v="15"/>
    <n v="1562.3999999999999"/>
    <x v="7"/>
    <x v="4"/>
    <x v="3"/>
    <s v="Mon"/>
    <x v="14"/>
  </r>
  <r>
    <x v="86"/>
    <x v="19"/>
    <x v="26"/>
    <n v="94.62"/>
    <n v="29"/>
    <n v="2743.98"/>
    <x v="4"/>
    <x v="4"/>
    <x v="3"/>
    <s v="Mon"/>
    <x v="14"/>
  </r>
  <r>
    <x v="87"/>
    <x v="0"/>
    <x v="30"/>
    <n v="162.54"/>
    <n v="39"/>
    <n v="6339.0599999999995"/>
    <x v="0"/>
    <x v="0"/>
    <x v="3"/>
    <s v="Tue"/>
    <x v="14"/>
  </r>
  <r>
    <x v="87"/>
    <x v="22"/>
    <x v="18"/>
    <n v="115.2"/>
    <n v="2"/>
    <n v="230.4"/>
    <x v="9"/>
    <x v="4"/>
    <x v="3"/>
    <s v="Tue"/>
    <x v="14"/>
  </r>
  <r>
    <x v="88"/>
    <x v="23"/>
    <x v="42"/>
    <n v="24.66"/>
    <n v="7"/>
    <n v="172.62"/>
    <x v="0"/>
    <x v="6"/>
    <x v="3"/>
    <s v="Wed"/>
    <x v="14"/>
  </r>
  <r>
    <x v="89"/>
    <x v="24"/>
    <x v="20"/>
    <n v="142.80000000000001"/>
    <n v="9"/>
    <n v="1285.2"/>
    <x v="2"/>
    <x v="4"/>
    <x v="3"/>
    <s v="Fri"/>
    <x v="14"/>
  </r>
  <r>
    <x v="89"/>
    <x v="22"/>
    <x v="35"/>
    <n v="155.61000000000001"/>
    <n v="3"/>
    <n v="466.83000000000004"/>
    <x v="9"/>
    <x v="4"/>
    <x v="3"/>
    <s v="Fri"/>
    <x v="14"/>
  </r>
  <r>
    <x v="89"/>
    <x v="22"/>
    <x v="39"/>
    <n v="42.55"/>
    <n v="12"/>
    <n v="510.59999999999997"/>
    <x v="9"/>
    <x v="4"/>
    <x v="3"/>
    <s v="Fri"/>
    <x v="14"/>
  </r>
  <r>
    <x v="89"/>
    <x v="34"/>
    <x v="33"/>
    <n v="156.78"/>
    <n v="8"/>
    <n v="1254.24"/>
    <x v="0"/>
    <x v="0"/>
    <x v="3"/>
    <s v="Fri"/>
    <x v="14"/>
  </r>
  <r>
    <x v="90"/>
    <x v="0"/>
    <x v="1"/>
    <n v="141.57"/>
    <n v="14"/>
    <n v="1981.98"/>
    <x v="0"/>
    <x v="0"/>
    <x v="3"/>
    <s v="Sat"/>
    <x v="14"/>
  </r>
  <r>
    <x v="90"/>
    <x v="32"/>
    <x v="38"/>
    <n v="173.88"/>
    <n v="17"/>
    <n v="2955.96"/>
    <x v="0"/>
    <x v="5"/>
    <x v="3"/>
    <s v="Sat"/>
    <x v="14"/>
  </r>
  <r>
    <x v="90"/>
    <x v="10"/>
    <x v="22"/>
    <n v="85.76"/>
    <n v="36"/>
    <n v="3087.36"/>
    <x v="2"/>
    <x v="4"/>
    <x v="3"/>
    <s v="Sat"/>
    <x v="14"/>
  </r>
  <r>
    <x v="91"/>
    <x v="35"/>
    <x v="41"/>
    <n v="7.8599999999999994"/>
    <n v="8"/>
    <n v="62.879999999999995"/>
    <x v="13"/>
    <x v="4"/>
    <x v="3"/>
    <s v="Sun"/>
    <x v="15"/>
  </r>
  <r>
    <x v="92"/>
    <x v="31"/>
    <x v="36"/>
    <n v="57.120000000000005"/>
    <n v="9"/>
    <n v="514.08000000000004"/>
    <x v="9"/>
    <x v="4"/>
    <x v="3"/>
    <s v="Mon"/>
    <x v="15"/>
  </r>
  <r>
    <x v="92"/>
    <x v="4"/>
    <x v="4"/>
    <n v="15.719999999999999"/>
    <n v="14"/>
    <n v="220.07999999999998"/>
    <x v="0"/>
    <x v="3"/>
    <x v="3"/>
    <s v="Mon"/>
    <x v="15"/>
  </r>
  <r>
    <x v="92"/>
    <x v="24"/>
    <x v="22"/>
    <n v="85.76"/>
    <n v="3"/>
    <n v="257.28000000000003"/>
    <x v="2"/>
    <x v="4"/>
    <x v="3"/>
    <s v="Mon"/>
    <x v="15"/>
  </r>
  <r>
    <x v="92"/>
    <x v="23"/>
    <x v="3"/>
    <n v="119.7"/>
    <n v="13"/>
    <n v="1556.1000000000001"/>
    <x v="0"/>
    <x v="6"/>
    <x v="3"/>
    <s v="Mon"/>
    <x v="15"/>
  </r>
  <r>
    <x v="92"/>
    <x v="29"/>
    <x v="10"/>
    <n v="53.11"/>
    <n v="4"/>
    <n v="212.44"/>
    <x v="0"/>
    <x v="6"/>
    <x v="3"/>
    <s v="Mon"/>
    <x v="15"/>
  </r>
  <r>
    <x v="93"/>
    <x v="3"/>
    <x v="9"/>
    <n v="48.84"/>
    <n v="8"/>
    <n v="390.72"/>
    <x v="0"/>
    <x v="3"/>
    <x v="3"/>
    <s v="Tue"/>
    <x v="15"/>
  </r>
  <r>
    <x v="93"/>
    <x v="15"/>
    <x v="25"/>
    <n v="16.64"/>
    <n v="14"/>
    <n v="232.96"/>
    <x v="4"/>
    <x v="4"/>
    <x v="3"/>
    <s v="Tue"/>
    <x v="15"/>
  </r>
  <r>
    <x v="93"/>
    <x v="21"/>
    <x v="43"/>
    <n v="96.3"/>
    <n v="35"/>
    <n v="3370.5"/>
    <x v="8"/>
    <x v="4"/>
    <x v="3"/>
    <s v="Tue"/>
    <x v="15"/>
  </r>
  <r>
    <x v="94"/>
    <x v="20"/>
    <x v="22"/>
    <n v="85.76"/>
    <n v="7"/>
    <n v="600.32000000000005"/>
    <x v="7"/>
    <x v="4"/>
    <x v="3"/>
    <s v="Wed"/>
    <x v="15"/>
  </r>
  <r>
    <x v="95"/>
    <x v="27"/>
    <x v="33"/>
    <n v="156.78"/>
    <n v="3"/>
    <n v="470.34000000000003"/>
    <x v="0"/>
    <x v="1"/>
    <x v="3"/>
    <s v="Thu"/>
    <x v="15"/>
  </r>
  <r>
    <x v="96"/>
    <x v="5"/>
    <x v="25"/>
    <n v="16.64"/>
    <n v="38"/>
    <n v="632.32000000000005"/>
    <x v="0"/>
    <x v="2"/>
    <x v="3"/>
    <s v="Fri"/>
    <x v="15"/>
  </r>
  <r>
    <x v="96"/>
    <x v="30"/>
    <x v="40"/>
    <n v="49.21"/>
    <n v="15"/>
    <n v="738.15"/>
    <x v="8"/>
    <x v="4"/>
    <x v="3"/>
    <s v="Fri"/>
    <x v="15"/>
  </r>
  <r>
    <x v="97"/>
    <x v="17"/>
    <x v="41"/>
    <n v="7.8599999999999994"/>
    <n v="19"/>
    <n v="149.33999999999997"/>
    <x v="5"/>
    <x v="4"/>
    <x v="3"/>
    <s v="Sat"/>
    <x v="15"/>
  </r>
  <r>
    <x v="98"/>
    <x v="0"/>
    <x v="38"/>
    <n v="173.88"/>
    <n v="9"/>
    <n v="1564.92"/>
    <x v="0"/>
    <x v="0"/>
    <x v="3"/>
    <s v="Sun"/>
    <x v="16"/>
  </r>
  <r>
    <x v="98"/>
    <x v="28"/>
    <x v="14"/>
    <n v="210"/>
    <n v="13"/>
    <n v="2730"/>
    <x v="11"/>
    <x v="4"/>
    <x v="3"/>
    <s v="Sun"/>
    <x v="16"/>
  </r>
  <r>
    <x v="98"/>
    <x v="35"/>
    <x v="23"/>
    <n v="48.4"/>
    <n v="2"/>
    <n v="96.8"/>
    <x v="13"/>
    <x v="4"/>
    <x v="3"/>
    <s v="Sun"/>
    <x v="16"/>
  </r>
  <r>
    <x v="98"/>
    <x v="1"/>
    <x v="2"/>
    <n v="79.92"/>
    <n v="9"/>
    <n v="719.28"/>
    <x v="0"/>
    <x v="1"/>
    <x v="3"/>
    <s v="Sun"/>
    <x v="16"/>
  </r>
  <r>
    <x v="99"/>
    <x v="35"/>
    <x v="23"/>
    <n v="48.4"/>
    <n v="17"/>
    <n v="822.8"/>
    <x v="13"/>
    <x v="4"/>
    <x v="3"/>
    <s v="Mon"/>
    <x v="16"/>
  </r>
  <r>
    <x v="100"/>
    <x v="0"/>
    <x v="40"/>
    <n v="49.21"/>
    <n v="2"/>
    <n v="98.42"/>
    <x v="0"/>
    <x v="0"/>
    <x v="3"/>
    <s v="Tue"/>
    <x v="16"/>
  </r>
  <r>
    <x v="100"/>
    <x v="9"/>
    <x v="11"/>
    <n v="94.17"/>
    <n v="4"/>
    <n v="376.68"/>
    <x v="0"/>
    <x v="0"/>
    <x v="3"/>
    <s v="Tue"/>
    <x v="16"/>
  </r>
  <r>
    <x v="101"/>
    <x v="34"/>
    <x v="32"/>
    <n v="201.28"/>
    <n v="2"/>
    <n v="402.56"/>
    <x v="0"/>
    <x v="0"/>
    <x v="3"/>
    <s v="Wed"/>
    <x v="16"/>
  </r>
  <r>
    <x v="101"/>
    <x v="25"/>
    <x v="42"/>
    <n v="24.66"/>
    <n v="14"/>
    <n v="345.24"/>
    <x v="0"/>
    <x v="2"/>
    <x v="3"/>
    <s v="Wed"/>
    <x v="16"/>
  </r>
  <r>
    <x v="102"/>
    <x v="4"/>
    <x v="8"/>
    <n v="83.08"/>
    <n v="22"/>
    <n v="1827.76"/>
    <x v="0"/>
    <x v="3"/>
    <x v="3"/>
    <s v="Thu"/>
    <x v="16"/>
  </r>
  <r>
    <x v="102"/>
    <x v="20"/>
    <x v="43"/>
    <n v="96.3"/>
    <n v="36"/>
    <n v="3466.7999999999997"/>
    <x v="7"/>
    <x v="4"/>
    <x v="3"/>
    <s v="Thu"/>
    <x v="16"/>
  </r>
  <r>
    <x v="103"/>
    <x v="3"/>
    <x v="37"/>
    <n v="41.81"/>
    <n v="10"/>
    <n v="418.1"/>
    <x v="0"/>
    <x v="3"/>
    <x v="3"/>
    <s v="Fri"/>
    <x v="16"/>
  </r>
  <r>
    <x v="103"/>
    <x v="20"/>
    <x v="28"/>
    <n v="82.08"/>
    <n v="15"/>
    <n v="1231.2"/>
    <x v="7"/>
    <x v="4"/>
    <x v="3"/>
    <s v="Fri"/>
    <x v="16"/>
  </r>
  <r>
    <x v="103"/>
    <x v="1"/>
    <x v="24"/>
    <n v="162"/>
    <n v="6"/>
    <n v="972"/>
    <x v="0"/>
    <x v="1"/>
    <x v="3"/>
    <s v="Fri"/>
    <x v="16"/>
  </r>
  <r>
    <x v="104"/>
    <x v="3"/>
    <x v="21"/>
    <n v="58.3"/>
    <n v="4"/>
    <n v="233.2"/>
    <x v="0"/>
    <x v="3"/>
    <x v="3"/>
    <s v="Sat"/>
    <x v="16"/>
  </r>
  <r>
    <x v="104"/>
    <x v="21"/>
    <x v="2"/>
    <n v="79.92"/>
    <n v="1"/>
    <n v="79.92"/>
    <x v="8"/>
    <x v="4"/>
    <x v="3"/>
    <s v="Sat"/>
    <x v="16"/>
  </r>
  <r>
    <x v="104"/>
    <x v="35"/>
    <x v="32"/>
    <n v="201.28"/>
    <n v="2"/>
    <n v="402.56"/>
    <x v="13"/>
    <x v="4"/>
    <x v="3"/>
    <s v="Sat"/>
    <x v="16"/>
  </r>
  <r>
    <x v="104"/>
    <x v="1"/>
    <x v="30"/>
    <n v="162.54"/>
    <n v="39"/>
    <n v="6339.0599999999995"/>
    <x v="0"/>
    <x v="1"/>
    <x v="3"/>
    <s v="Sat"/>
    <x v="16"/>
  </r>
  <r>
    <x v="105"/>
    <x v="3"/>
    <x v="19"/>
    <n v="80.94"/>
    <n v="8"/>
    <n v="647.52"/>
    <x v="0"/>
    <x v="3"/>
    <x v="3"/>
    <s v="Sun"/>
    <x v="17"/>
  </r>
  <r>
    <x v="105"/>
    <x v="34"/>
    <x v="9"/>
    <n v="48.84"/>
    <n v="9"/>
    <n v="439.56000000000006"/>
    <x v="0"/>
    <x v="0"/>
    <x v="3"/>
    <s v="Sun"/>
    <x v="17"/>
  </r>
  <r>
    <x v="106"/>
    <x v="23"/>
    <x v="22"/>
    <n v="85.76"/>
    <n v="3"/>
    <n v="257.28000000000003"/>
    <x v="0"/>
    <x v="6"/>
    <x v="3"/>
    <s v="Mon"/>
    <x v="17"/>
  </r>
  <r>
    <x v="106"/>
    <x v="14"/>
    <x v="36"/>
    <n v="57.120000000000005"/>
    <n v="2"/>
    <n v="114.24000000000001"/>
    <x v="0"/>
    <x v="3"/>
    <x v="3"/>
    <s v="Mon"/>
    <x v="17"/>
  </r>
  <r>
    <x v="107"/>
    <x v="33"/>
    <x v="7"/>
    <n v="146.72"/>
    <n v="14"/>
    <n v="2054.08"/>
    <x v="12"/>
    <x v="4"/>
    <x v="3"/>
    <s v="Wed"/>
    <x v="17"/>
  </r>
  <r>
    <x v="107"/>
    <x v="30"/>
    <x v="29"/>
    <n v="76.25"/>
    <n v="30"/>
    <n v="2287.5"/>
    <x v="8"/>
    <x v="4"/>
    <x v="3"/>
    <s v="Wed"/>
    <x v="17"/>
  </r>
  <r>
    <x v="108"/>
    <x v="32"/>
    <x v="30"/>
    <n v="162.54"/>
    <n v="13"/>
    <n v="2113.02"/>
    <x v="0"/>
    <x v="5"/>
    <x v="3"/>
    <s v="Thu"/>
    <x v="17"/>
  </r>
  <r>
    <x v="108"/>
    <x v="1"/>
    <x v="32"/>
    <n v="201.28"/>
    <n v="7"/>
    <n v="1408.96"/>
    <x v="0"/>
    <x v="1"/>
    <x v="3"/>
    <s v="Thu"/>
    <x v="17"/>
  </r>
  <r>
    <x v="109"/>
    <x v="5"/>
    <x v="25"/>
    <n v="16.64"/>
    <n v="13"/>
    <n v="216.32"/>
    <x v="0"/>
    <x v="2"/>
    <x v="3"/>
    <s v="Fri"/>
    <x v="17"/>
  </r>
  <r>
    <x v="109"/>
    <x v="28"/>
    <x v="10"/>
    <n v="53.11"/>
    <n v="1"/>
    <n v="53.11"/>
    <x v="11"/>
    <x v="4"/>
    <x v="3"/>
    <s v="Fri"/>
    <x v="17"/>
  </r>
  <r>
    <x v="109"/>
    <x v="20"/>
    <x v="36"/>
    <n v="57.120000000000005"/>
    <n v="8"/>
    <n v="456.96000000000004"/>
    <x v="7"/>
    <x v="4"/>
    <x v="3"/>
    <s v="Fri"/>
    <x v="17"/>
  </r>
  <r>
    <x v="110"/>
    <x v="13"/>
    <x v="16"/>
    <n v="104.16"/>
    <n v="2"/>
    <n v="208.32"/>
    <x v="5"/>
    <x v="4"/>
    <x v="4"/>
    <s v="Sat"/>
    <x v="17"/>
  </r>
  <r>
    <x v="110"/>
    <x v="32"/>
    <x v="21"/>
    <n v="58.3"/>
    <n v="9"/>
    <n v="524.69999999999993"/>
    <x v="0"/>
    <x v="5"/>
    <x v="4"/>
    <s v="Sat"/>
    <x v="17"/>
  </r>
  <r>
    <x v="110"/>
    <x v="5"/>
    <x v="3"/>
    <n v="119.7"/>
    <n v="6"/>
    <n v="718.2"/>
    <x v="0"/>
    <x v="2"/>
    <x v="4"/>
    <s v="Sat"/>
    <x v="17"/>
  </r>
  <r>
    <x v="110"/>
    <x v="29"/>
    <x v="24"/>
    <n v="162"/>
    <n v="1"/>
    <n v="162"/>
    <x v="0"/>
    <x v="6"/>
    <x v="4"/>
    <s v="Sat"/>
    <x v="17"/>
  </r>
  <r>
    <x v="110"/>
    <x v="25"/>
    <x v="40"/>
    <n v="49.21"/>
    <n v="3"/>
    <n v="147.63"/>
    <x v="0"/>
    <x v="2"/>
    <x v="4"/>
    <s v="Sat"/>
    <x v="17"/>
  </r>
  <r>
    <x v="111"/>
    <x v="23"/>
    <x v="6"/>
    <n v="122.08"/>
    <n v="4"/>
    <n v="488.32"/>
    <x v="0"/>
    <x v="6"/>
    <x v="4"/>
    <s v="Sun"/>
    <x v="18"/>
  </r>
  <r>
    <x v="112"/>
    <x v="16"/>
    <x v="21"/>
    <n v="58.3"/>
    <n v="3"/>
    <n v="174.89999999999998"/>
    <x v="6"/>
    <x v="4"/>
    <x v="4"/>
    <s v="Mon"/>
    <x v="18"/>
  </r>
  <r>
    <x v="112"/>
    <x v="27"/>
    <x v="6"/>
    <n v="122.08"/>
    <n v="13"/>
    <n v="1587.04"/>
    <x v="0"/>
    <x v="1"/>
    <x v="4"/>
    <s v="Mon"/>
    <x v="18"/>
  </r>
  <r>
    <x v="113"/>
    <x v="32"/>
    <x v="7"/>
    <n v="146.72"/>
    <n v="4"/>
    <n v="586.88"/>
    <x v="0"/>
    <x v="5"/>
    <x v="4"/>
    <s v="Tue"/>
    <x v="18"/>
  </r>
  <r>
    <x v="113"/>
    <x v="28"/>
    <x v="4"/>
    <n v="15.719999999999999"/>
    <n v="13"/>
    <n v="204.35999999999999"/>
    <x v="11"/>
    <x v="4"/>
    <x v="4"/>
    <s v="Tue"/>
    <x v="18"/>
  </r>
  <r>
    <x v="113"/>
    <x v="27"/>
    <x v="29"/>
    <n v="76.25"/>
    <n v="10"/>
    <n v="762.5"/>
    <x v="0"/>
    <x v="1"/>
    <x v="4"/>
    <s v="Tue"/>
    <x v="18"/>
  </r>
  <r>
    <x v="114"/>
    <x v="31"/>
    <x v="41"/>
    <n v="7.8599999999999994"/>
    <n v="13"/>
    <n v="102.17999999999999"/>
    <x v="9"/>
    <x v="4"/>
    <x v="4"/>
    <s v="Wed"/>
    <x v="18"/>
  </r>
  <r>
    <x v="114"/>
    <x v="26"/>
    <x v="13"/>
    <n v="117.48"/>
    <n v="22"/>
    <n v="2584.56"/>
    <x v="10"/>
    <x v="4"/>
    <x v="4"/>
    <s v="Wed"/>
    <x v="18"/>
  </r>
  <r>
    <x v="115"/>
    <x v="0"/>
    <x v="41"/>
    <n v="7.8599999999999994"/>
    <n v="6"/>
    <n v="47.16"/>
    <x v="0"/>
    <x v="0"/>
    <x v="4"/>
    <s v="Thu"/>
    <x v="18"/>
  </r>
  <r>
    <x v="115"/>
    <x v="0"/>
    <x v="21"/>
    <n v="58.3"/>
    <n v="7"/>
    <n v="408.09999999999997"/>
    <x v="0"/>
    <x v="0"/>
    <x v="4"/>
    <s v="Thu"/>
    <x v="18"/>
  </r>
  <r>
    <x v="115"/>
    <x v="14"/>
    <x v="26"/>
    <n v="94.62"/>
    <n v="15"/>
    <n v="1419.3000000000002"/>
    <x v="0"/>
    <x v="3"/>
    <x v="4"/>
    <s v="Thu"/>
    <x v="18"/>
  </r>
  <r>
    <x v="116"/>
    <x v="16"/>
    <x v="4"/>
    <n v="15.719999999999999"/>
    <n v="4"/>
    <n v="62.879999999999995"/>
    <x v="6"/>
    <x v="4"/>
    <x v="4"/>
    <s v="Fri"/>
    <x v="18"/>
  </r>
  <r>
    <x v="116"/>
    <x v="15"/>
    <x v="40"/>
    <n v="49.21"/>
    <n v="1"/>
    <n v="49.21"/>
    <x v="4"/>
    <x v="4"/>
    <x v="4"/>
    <s v="Fri"/>
    <x v="18"/>
  </r>
  <r>
    <x v="116"/>
    <x v="32"/>
    <x v="36"/>
    <n v="57.120000000000005"/>
    <n v="1"/>
    <n v="57.120000000000005"/>
    <x v="0"/>
    <x v="5"/>
    <x v="4"/>
    <s v="Fri"/>
    <x v="18"/>
  </r>
  <r>
    <x v="116"/>
    <x v="20"/>
    <x v="25"/>
    <n v="16.64"/>
    <n v="39"/>
    <n v="648.96"/>
    <x v="7"/>
    <x v="4"/>
    <x v="4"/>
    <s v="Fri"/>
    <x v="18"/>
  </r>
  <r>
    <x v="116"/>
    <x v="29"/>
    <x v="36"/>
    <n v="57.120000000000005"/>
    <n v="29"/>
    <n v="1656.48"/>
    <x v="0"/>
    <x v="6"/>
    <x v="4"/>
    <s v="Fri"/>
    <x v="18"/>
  </r>
  <r>
    <x v="117"/>
    <x v="0"/>
    <x v="23"/>
    <n v="48.4"/>
    <n v="19"/>
    <n v="919.6"/>
    <x v="0"/>
    <x v="0"/>
    <x v="4"/>
    <s v="Sat"/>
    <x v="18"/>
  </r>
  <r>
    <x v="117"/>
    <x v="25"/>
    <x v="1"/>
    <n v="141.57"/>
    <n v="7"/>
    <n v="990.99"/>
    <x v="0"/>
    <x v="2"/>
    <x v="4"/>
    <s v="Sat"/>
    <x v="18"/>
  </r>
  <r>
    <x v="118"/>
    <x v="16"/>
    <x v="37"/>
    <n v="41.81"/>
    <n v="8"/>
    <n v="334.48"/>
    <x v="6"/>
    <x v="4"/>
    <x v="4"/>
    <s v="Sun"/>
    <x v="19"/>
  </r>
  <r>
    <x v="118"/>
    <x v="21"/>
    <x v="25"/>
    <n v="16.64"/>
    <n v="6"/>
    <n v="99.84"/>
    <x v="8"/>
    <x v="4"/>
    <x v="4"/>
    <s v="Sun"/>
    <x v="19"/>
  </r>
  <r>
    <x v="118"/>
    <x v="32"/>
    <x v="33"/>
    <n v="156.78"/>
    <n v="12"/>
    <n v="1881.3600000000001"/>
    <x v="0"/>
    <x v="5"/>
    <x v="4"/>
    <s v="Sun"/>
    <x v="19"/>
  </r>
  <r>
    <x v="118"/>
    <x v="34"/>
    <x v="0"/>
    <n v="156.96"/>
    <n v="37"/>
    <n v="5807.52"/>
    <x v="0"/>
    <x v="0"/>
    <x v="4"/>
    <s v="Sun"/>
    <x v="19"/>
  </r>
  <r>
    <x v="118"/>
    <x v="1"/>
    <x v="37"/>
    <n v="41.81"/>
    <n v="4"/>
    <n v="167.24"/>
    <x v="0"/>
    <x v="1"/>
    <x v="4"/>
    <s v="Sun"/>
    <x v="19"/>
  </r>
  <r>
    <x v="119"/>
    <x v="0"/>
    <x v="41"/>
    <n v="7.8599999999999994"/>
    <n v="6"/>
    <n v="47.16"/>
    <x v="0"/>
    <x v="0"/>
    <x v="4"/>
    <s v="Mon"/>
    <x v="19"/>
  </r>
  <r>
    <x v="119"/>
    <x v="22"/>
    <x v="42"/>
    <n v="24.66"/>
    <n v="9"/>
    <n v="221.94"/>
    <x v="9"/>
    <x v="4"/>
    <x v="4"/>
    <s v="Mon"/>
    <x v="19"/>
  </r>
  <r>
    <x v="120"/>
    <x v="33"/>
    <x v="43"/>
    <n v="96.3"/>
    <n v="3"/>
    <n v="288.89999999999998"/>
    <x v="12"/>
    <x v="4"/>
    <x v="4"/>
    <s v="Wed"/>
    <x v="19"/>
  </r>
  <r>
    <x v="120"/>
    <x v="23"/>
    <x v="23"/>
    <n v="48.4"/>
    <n v="7"/>
    <n v="338.8"/>
    <x v="0"/>
    <x v="6"/>
    <x v="4"/>
    <s v="Wed"/>
    <x v="19"/>
  </r>
  <r>
    <x v="120"/>
    <x v="26"/>
    <x v="5"/>
    <n v="164.28"/>
    <n v="30"/>
    <n v="4928.3999999999996"/>
    <x v="10"/>
    <x v="4"/>
    <x v="4"/>
    <s v="Wed"/>
    <x v="19"/>
  </r>
  <r>
    <x v="120"/>
    <x v="14"/>
    <x v="25"/>
    <n v="16.64"/>
    <n v="3"/>
    <n v="49.92"/>
    <x v="0"/>
    <x v="3"/>
    <x v="4"/>
    <s v="Wed"/>
    <x v="19"/>
  </r>
  <r>
    <x v="120"/>
    <x v="1"/>
    <x v="12"/>
    <n v="6.7"/>
    <n v="15"/>
    <n v="100.5"/>
    <x v="0"/>
    <x v="1"/>
    <x v="4"/>
    <s v="Wed"/>
    <x v="19"/>
  </r>
  <r>
    <x v="121"/>
    <x v="21"/>
    <x v="10"/>
    <n v="53.11"/>
    <n v="4"/>
    <n v="212.44"/>
    <x v="8"/>
    <x v="4"/>
    <x v="4"/>
    <s v="Thu"/>
    <x v="19"/>
  </r>
  <r>
    <x v="121"/>
    <x v="27"/>
    <x v="11"/>
    <n v="94.17"/>
    <n v="5"/>
    <n v="470.85"/>
    <x v="0"/>
    <x v="1"/>
    <x v="4"/>
    <s v="Thu"/>
    <x v="19"/>
  </r>
  <r>
    <x v="122"/>
    <x v="4"/>
    <x v="18"/>
    <n v="115.2"/>
    <n v="20"/>
    <n v="2304"/>
    <x v="0"/>
    <x v="3"/>
    <x v="4"/>
    <s v="Fri"/>
    <x v="19"/>
  </r>
  <r>
    <x v="122"/>
    <x v="17"/>
    <x v="26"/>
    <n v="94.62"/>
    <n v="14"/>
    <n v="1324.68"/>
    <x v="5"/>
    <x v="4"/>
    <x v="4"/>
    <s v="Fri"/>
    <x v="19"/>
  </r>
  <r>
    <x v="123"/>
    <x v="15"/>
    <x v="6"/>
    <n v="122.08"/>
    <n v="6"/>
    <n v="732.48"/>
    <x v="4"/>
    <x v="4"/>
    <x v="4"/>
    <s v="Sat"/>
    <x v="19"/>
  </r>
  <r>
    <x v="123"/>
    <x v="21"/>
    <x v="29"/>
    <n v="76.25"/>
    <n v="5"/>
    <n v="381.25"/>
    <x v="8"/>
    <x v="4"/>
    <x v="4"/>
    <s v="Sat"/>
    <x v="19"/>
  </r>
  <r>
    <x v="124"/>
    <x v="13"/>
    <x v="5"/>
    <n v="164.28"/>
    <n v="13"/>
    <n v="2135.64"/>
    <x v="5"/>
    <x v="4"/>
    <x v="4"/>
    <s v="Sun"/>
    <x v="20"/>
  </r>
  <r>
    <x v="124"/>
    <x v="27"/>
    <x v="16"/>
    <n v="104.16"/>
    <n v="13"/>
    <n v="1354.08"/>
    <x v="0"/>
    <x v="1"/>
    <x v="4"/>
    <s v="Sun"/>
    <x v="20"/>
  </r>
  <r>
    <x v="125"/>
    <x v="29"/>
    <x v="13"/>
    <n v="117.48"/>
    <n v="34"/>
    <n v="3994.32"/>
    <x v="0"/>
    <x v="6"/>
    <x v="4"/>
    <s v="Mon"/>
    <x v="20"/>
  </r>
  <r>
    <x v="125"/>
    <x v="30"/>
    <x v="36"/>
    <n v="57.120000000000005"/>
    <n v="8"/>
    <n v="456.96000000000004"/>
    <x v="8"/>
    <x v="4"/>
    <x v="4"/>
    <s v="Mon"/>
    <x v="20"/>
  </r>
  <r>
    <x v="126"/>
    <x v="15"/>
    <x v="36"/>
    <n v="57.120000000000005"/>
    <n v="4"/>
    <n v="228.48000000000002"/>
    <x v="4"/>
    <x v="4"/>
    <x v="4"/>
    <s v="Tue"/>
    <x v="20"/>
  </r>
  <r>
    <x v="126"/>
    <x v="21"/>
    <x v="2"/>
    <n v="79.92"/>
    <n v="8"/>
    <n v="639.36"/>
    <x v="8"/>
    <x v="4"/>
    <x v="4"/>
    <s v="Tue"/>
    <x v="20"/>
  </r>
  <r>
    <x v="126"/>
    <x v="10"/>
    <x v="34"/>
    <n v="85.5"/>
    <n v="1"/>
    <n v="85.5"/>
    <x v="2"/>
    <x v="4"/>
    <x v="4"/>
    <s v="Tue"/>
    <x v="20"/>
  </r>
  <r>
    <x v="127"/>
    <x v="9"/>
    <x v="39"/>
    <n v="42.55"/>
    <n v="9"/>
    <n v="382.95"/>
    <x v="0"/>
    <x v="0"/>
    <x v="4"/>
    <s v="Wed"/>
    <x v="20"/>
  </r>
  <r>
    <x v="128"/>
    <x v="0"/>
    <x v="6"/>
    <n v="122.08"/>
    <n v="11"/>
    <n v="1342.8799999999999"/>
    <x v="0"/>
    <x v="0"/>
    <x v="4"/>
    <s v="Thu"/>
    <x v="20"/>
  </r>
  <r>
    <x v="128"/>
    <x v="29"/>
    <x v="28"/>
    <n v="82.08"/>
    <n v="15"/>
    <n v="1231.2"/>
    <x v="0"/>
    <x v="6"/>
    <x v="4"/>
    <s v="Thu"/>
    <x v="20"/>
  </r>
  <r>
    <x v="128"/>
    <x v="27"/>
    <x v="24"/>
    <n v="162"/>
    <n v="2"/>
    <n v="324"/>
    <x v="0"/>
    <x v="1"/>
    <x v="4"/>
    <s v="Thu"/>
    <x v="20"/>
  </r>
  <r>
    <x v="129"/>
    <x v="0"/>
    <x v="2"/>
    <n v="79.92"/>
    <n v="21"/>
    <n v="1678.32"/>
    <x v="0"/>
    <x v="0"/>
    <x v="4"/>
    <s v="Fri"/>
    <x v="20"/>
  </r>
  <r>
    <x v="129"/>
    <x v="18"/>
    <x v="12"/>
    <n v="6.7"/>
    <n v="16"/>
    <n v="107.2"/>
    <x v="0"/>
    <x v="5"/>
    <x v="4"/>
    <s v="Fri"/>
    <x v="20"/>
  </r>
  <r>
    <x v="130"/>
    <x v="3"/>
    <x v="4"/>
    <n v="15.719999999999999"/>
    <n v="12"/>
    <n v="188.64"/>
    <x v="0"/>
    <x v="3"/>
    <x v="4"/>
    <s v="Sat"/>
    <x v="20"/>
  </r>
  <r>
    <x v="130"/>
    <x v="13"/>
    <x v="1"/>
    <n v="141.57"/>
    <n v="24"/>
    <n v="3397.68"/>
    <x v="5"/>
    <x v="4"/>
    <x v="4"/>
    <s v="Sat"/>
    <x v="20"/>
  </r>
  <r>
    <x v="130"/>
    <x v="18"/>
    <x v="34"/>
    <n v="85.5"/>
    <n v="19"/>
    <n v="1624.5"/>
    <x v="0"/>
    <x v="5"/>
    <x v="4"/>
    <s v="Sat"/>
    <x v="20"/>
  </r>
  <r>
    <x v="131"/>
    <x v="9"/>
    <x v="18"/>
    <n v="115.2"/>
    <n v="11"/>
    <n v="1267.2"/>
    <x v="0"/>
    <x v="0"/>
    <x v="4"/>
    <s v="Sun"/>
    <x v="21"/>
  </r>
  <r>
    <x v="131"/>
    <x v="35"/>
    <x v="25"/>
    <n v="16.64"/>
    <n v="27"/>
    <n v="449.28000000000003"/>
    <x v="13"/>
    <x v="4"/>
    <x v="4"/>
    <s v="Sun"/>
    <x v="21"/>
  </r>
  <r>
    <x v="132"/>
    <x v="5"/>
    <x v="42"/>
    <n v="24.66"/>
    <n v="21"/>
    <n v="517.86"/>
    <x v="0"/>
    <x v="2"/>
    <x v="4"/>
    <s v="Mon"/>
    <x v="21"/>
  </r>
  <r>
    <x v="133"/>
    <x v="10"/>
    <x v="20"/>
    <n v="142.80000000000001"/>
    <n v="7"/>
    <n v="999.60000000000014"/>
    <x v="2"/>
    <x v="4"/>
    <x v="4"/>
    <s v="Tue"/>
    <x v="21"/>
  </r>
  <r>
    <x v="133"/>
    <x v="30"/>
    <x v="40"/>
    <n v="49.21"/>
    <n v="37"/>
    <n v="1820.77"/>
    <x v="8"/>
    <x v="4"/>
    <x v="4"/>
    <s v="Tue"/>
    <x v="21"/>
  </r>
  <r>
    <x v="134"/>
    <x v="3"/>
    <x v="36"/>
    <n v="57.120000000000005"/>
    <n v="2"/>
    <n v="114.24000000000001"/>
    <x v="0"/>
    <x v="3"/>
    <x v="4"/>
    <s v="Wed"/>
    <x v="21"/>
  </r>
  <r>
    <x v="134"/>
    <x v="4"/>
    <x v="37"/>
    <n v="41.81"/>
    <n v="2"/>
    <n v="83.62"/>
    <x v="0"/>
    <x v="3"/>
    <x v="4"/>
    <s v="Wed"/>
    <x v="21"/>
  </r>
  <r>
    <x v="134"/>
    <x v="23"/>
    <x v="34"/>
    <n v="85.5"/>
    <n v="1"/>
    <n v="85.5"/>
    <x v="0"/>
    <x v="6"/>
    <x v="4"/>
    <s v="Wed"/>
    <x v="21"/>
  </r>
  <r>
    <x v="135"/>
    <x v="3"/>
    <x v="29"/>
    <n v="76.25"/>
    <n v="14"/>
    <n v="1067.5"/>
    <x v="0"/>
    <x v="3"/>
    <x v="4"/>
    <s v="Fri"/>
    <x v="21"/>
  </r>
  <r>
    <x v="135"/>
    <x v="24"/>
    <x v="10"/>
    <n v="53.11"/>
    <n v="4"/>
    <n v="212.44"/>
    <x v="2"/>
    <x v="4"/>
    <x v="4"/>
    <s v="Fri"/>
    <x v="21"/>
  </r>
  <r>
    <x v="135"/>
    <x v="24"/>
    <x v="5"/>
    <n v="164.28"/>
    <n v="9"/>
    <n v="1478.52"/>
    <x v="2"/>
    <x v="4"/>
    <x v="4"/>
    <s v="Fri"/>
    <x v="21"/>
  </r>
  <r>
    <x v="135"/>
    <x v="13"/>
    <x v="9"/>
    <n v="48.84"/>
    <n v="12"/>
    <n v="586.08000000000004"/>
    <x v="5"/>
    <x v="4"/>
    <x v="4"/>
    <s v="Fri"/>
    <x v="21"/>
  </r>
  <r>
    <x v="135"/>
    <x v="27"/>
    <x v="26"/>
    <n v="94.62"/>
    <n v="5"/>
    <n v="473.1"/>
    <x v="0"/>
    <x v="1"/>
    <x v="4"/>
    <s v="Fri"/>
    <x v="21"/>
  </r>
  <r>
    <x v="135"/>
    <x v="30"/>
    <x v="38"/>
    <n v="173.88"/>
    <n v="10"/>
    <n v="1738.8"/>
    <x v="8"/>
    <x v="4"/>
    <x v="4"/>
    <s v="Fri"/>
    <x v="21"/>
  </r>
  <r>
    <x v="135"/>
    <x v="30"/>
    <x v="39"/>
    <n v="42.55"/>
    <n v="17"/>
    <n v="723.34999999999991"/>
    <x v="8"/>
    <x v="4"/>
    <x v="4"/>
    <s v="Fri"/>
    <x v="21"/>
  </r>
  <r>
    <x v="136"/>
    <x v="15"/>
    <x v="35"/>
    <n v="155.61000000000001"/>
    <n v="4"/>
    <n v="622.44000000000005"/>
    <x v="4"/>
    <x v="4"/>
    <x v="4"/>
    <s v="Sun"/>
    <x v="22"/>
  </r>
  <r>
    <x v="136"/>
    <x v="5"/>
    <x v="27"/>
    <n v="149.46"/>
    <n v="13"/>
    <n v="1942.98"/>
    <x v="0"/>
    <x v="2"/>
    <x v="4"/>
    <s v="Sun"/>
    <x v="22"/>
  </r>
  <r>
    <x v="136"/>
    <x v="10"/>
    <x v="9"/>
    <n v="48.84"/>
    <n v="23"/>
    <n v="1123.3200000000002"/>
    <x v="2"/>
    <x v="4"/>
    <x v="4"/>
    <s v="Sun"/>
    <x v="22"/>
  </r>
  <r>
    <x v="136"/>
    <x v="29"/>
    <x v="6"/>
    <n v="122.08"/>
    <n v="6"/>
    <n v="732.48"/>
    <x v="0"/>
    <x v="6"/>
    <x v="4"/>
    <s v="Sun"/>
    <x v="22"/>
  </r>
  <r>
    <x v="136"/>
    <x v="27"/>
    <x v="28"/>
    <n v="82.08"/>
    <n v="9"/>
    <n v="738.72"/>
    <x v="0"/>
    <x v="1"/>
    <x v="4"/>
    <s v="Sun"/>
    <x v="22"/>
  </r>
  <r>
    <x v="136"/>
    <x v="35"/>
    <x v="3"/>
    <n v="119.7"/>
    <n v="3"/>
    <n v="359.1"/>
    <x v="13"/>
    <x v="4"/>
    <x v="4"/>
    <s v="Sun"/>
    <x v="22"/>
  </r>
  <r>
    <x v="137"/>
    <x v="4"/>
    <x v="36"/>
    <n v="57.120000000000005"/>
    <n v="15"/>
    <n v="856.80000000000007"/>
    <x v="0"/>
    <x v="3"/>
    <x v="5"/>
    <s v="Wed"/>
    <x v="22"/>
  </r>
  <r>
    <x v="138"/>
    <x v="24"/>
    <x v="39"/>
    <n v="42.55"/>
    <n v="32"/>
    <n v="1361.6"/>
    <x v="2"/>
    <x v="4"/>
    <x v="5"/>
    <s v="Thu"/>
    <x v="22"/>
  </r>
  <r>
    <x v="138"/>
    <x v="28"/>
    <x v="26"/>
    <n v="94.62"/>
    <n v="14"/>
    <n v="1324.68"/>
    <x v="11"/>
    <x v="4"/>
    <x v="5"/>
    <s v="Thu"/>
    <x v="22"/>
  </r>
  <r>
    <x v="138"/>
    <x v="10"/>
    <x v="30"/>
    <n v="162.54"/>
    <n v="10"/>
    <n v="1625.3999999999999"/>
    <x v="2"/>
    <x v="4"/>
    <x v="5"/>
    <s v="Thu"/>
    <x v="22"/>
  </r>
  <r>
    <x v="139"/>
    <x v="15"/>
    <x v="29"/>
    <n v="76.25"/>
    <n v="8"/>
    <n v="610"/>
    <x v="4"/>
    <x v="4"/>
    <x v="5"/>
    <s v="Fri"/>
    <x v="22"/>
  </r>
  <r>
    <x v="139"/>
    <x v="21"/>
    <x v="29"/>
    <n v="76.25"/>
    <n v="12"/>
    <n v="915"/>
    <x v="8"/>
    <x v="4"/>
    <x v="5"/>
    <s v="Fri"/>
    <x v="22"/>
  </r>
  <r>
    <x v="139"/>
    <x v="22"/>
    <x v="25"/>
    <n v="16.64"/>
    <n v="30"/>
    <n v="499.20000000000005"/>
    <x v="9"/>
    <x v="4"/>
    <x v="5"/>
    <s v="Fri"/>
    <x v="22"/>
  </r>
  <r>
    <x v="140"/>
    <x v="24"/>
    <x v="1"/>
    <n v="141.57"/>
    <n v="15"/>
    <n v="2123.5499999999997"/>
    <x v="2"/>
    <x v="4"/>
    <x v="5"/>
    <s v="Sat"/>
    <x v="22"/>
  </r>
  <r>
    <x v="140"/>
    <x v="24"/>
    <x v="11"/>
    <n v="94.17"/>
    <n v="5"/>
    <n v="470.85"/>
    <x v="2"/>
    <x v="4"/>
    <x v="5"/>
    <s v="Sat"/>
    <x v="22"/>
  </r>
  <r>
    <x v="140"/>
    <x v="17"/>
    <x v="19"/>
    <n v="80.94"/>
    <n v="17"/>
    <n v="1375.98"/>
    <x v="5"/>
    <x v="4"/>
    <x v="5"/>
    <s v="Sat"/>
    <x v="22"/>
  </r>
  <r>
    <x v="140"/>
    <x v="10"/>
    <x v="41"/>
    <n v="7.8599999999999994"/>
    <n v="32"/>
    <n v="251.51999999999998"/>
    <x v="2"/>
    <x v="4"/>
    <x v="5"/>
    <s v="Sat"/>
    <x v="22"/>
  </r>
  <r>
    <x v="140"/>
    <x v="30"/>
    <x v="12"/>
    <n v="6.7"/>
    <n v="10"/>
    <n v="67"/>
    <x v="8"/>
    <x v="4"/>
    <x v="5"/>
    <s v="Sat"/>
    <x v="22"/>
  </r>
  <r>
    <x v="141"/>
    <x v="22"/>
    <x v="3"/>
    <n v="119.7"/>
    <n v="6"/>
    <n v="718.2"/>
    <x v="9"/>
    <x v="4"/>
    <x v="5"/>
    <s v="Sun"/>
    <x v="23"/>
  </r>
  <r>
    <x v="141"/>
    <x v="35"/>
    <x v="31"/>
    <n v="103.88"/>
    <n v="33"/>
    <n v="3428.04"/>
    <x v="13"/>
    <x v="4"/>
    <x v="5"/>
    <s v="Sun"/>
    <x v="23"/>
  </r>
  <r>
    <x v="142"/>
    <x v="32"/>
    <x v="37"/>
    <n v="41.81"/>
    <n v="11"/>
    <n v="459.91"/>
    <x v="0"/>
    <x v="5"/>
    <x v="5"/>
    <s v="Tue"/>
    <x v="23"/>
  </r>
  <r>
    <x v="142"/>
    <x v="34"/>
    <x v="9"/>
    <n v="48.84"/>
    <n v="11"/>
    <n v="537.24"/>
    <x v="0"/>
    <x v="0"/>
    <x v="5"/>
    <s v="Tue"/>
    <x v="23"/>
  </r>
  <r>
    <x v="143"/>
    <x v="20"/>
    <x v="31"/>
    <n v="103.88"/>
    <n v="7"/>
    <n v="727.16"/>
    <x v="7"/>
    <x v="4"/>
    <x v="5"/>
    <s v="Wed"/>
    <x v="23"/>
  </r>
  <r>
    <x v="143"/>
    <x v="27"/>
    <x v="18"/>
    <n v="115.2"/>
    <n v="32"/>
    <n v="3686.4"/>
    <x v="0"/>
    <x v="1"/>
    <x v="5"/>
    <s v="Wed"/>
    <x v="23"/>
  </r>
  <r>
    <x v="144"/>
    <x v="33"/>
    <x v="37"/>
    <n v="41.81"/>
    <n v="8"/>
    <n v="334.48"/>
    <x v="12"/>
    <x v="4"/>
    <x v="5"/>
    <s v="Thu"/>
    <x v="23"/>
  </r>
  <r>
    <x v="145"/>
    <x v="0"/>
    <x v="13"/>
    <n v="117.48"/>
    <n v="12"/>
    <n v="1409.76"/>
    <x v="0"/>
    <x v="0"/>
    <x v="5"/>
    <s v="Fri"/>
    <x v="23"/>
  </r>
  <r>
    <x v="145"/>
    <x v="0"/>
    <x v="35"/>
    <n v="155.61000000000001"/>
    <n v="9"/>
    <n v="1400.4900000000002"/>
    <x v="0"/>
    <x v="0"/>
    <x v="5"/>
    <s v="Fri"/>
    <x v="23"/>
  </r>
  <r>
    <x v="145"/>
    <x v="28"/>
    <x v="39"/>
    <n v="42.55"/>
    <n v="13"/>
    <n v="553.15"/>
    <x v="11"/>
    <x v="4"/>
    <x v="5"/>
    <s v="Fri"/>
    <x v="23"/>
  </r>
  <r>
    <x v="145"/>
    <x v="14"/>
    <x v="30"/>
    <n v="162.54"/>
    <n v="6"/>
    <n v="975.24"/>
    <x v="0"/>
    <x v="3"/>
    <x v="5"/>
    <s v="Fri"/>
    <x v="23"/>
  </r>
  <r>
    <x v="146"/>
    <x v="22"/>
    <x v="38"/>
    <n v="173.88"/>
    <n v="6"/>
    <n v="1043.28"/>
    <x v="9"/>
    <x v="4"/>
    <x v="5"/>
    <s v="Sat"/>
    <x v="23"/>
  </r>
  <r>
    <x v="147"/>
    <x v="15"/>
    <x v="42"/>
    <n v="24.66"/>
    <n v="6"/>
    <n v="147.96"/>
    <x v="4"/>
    <x v="4"/>
    <x v="5"/>
    <s v="Sun"/>
    <x v="24"/>
  </r>
  <r>
    <x v="147"/>
    <x v="36"/>
    <x v="4"/>
    <n v="15.719999999999999"/>
    <n v="3"/>
    <n v="47.16"/>
    <x v="0"/>
    <x v="1"/>
    <x v="5"/>
    <s v="Sun"/>
    <x v="24"/>
  </r>
  <r>
    <x v="147"/>
    <x v="17"/>
    <x v="1"/>
    <n v="141.57"/>
    <n v="20"/>
    <n v="2831.3999999999996"/>
    <x v="5"/>
    <x v="4"/>
    <x v="5"/>
    <s v="Sun"/>
    <x v="24"/>
  </r>
  <r>
    <x v="147"/>
    <x v="26"/>
    <x v="12"/>
    <n v="6.7"/>
    <n v="2"/>
    <n v="13.4"/>
    <x v="10"/>
    <x v="4"/>
    <x v="5"/>
    <s v="Sun"/>
    <x v="24"/>
  </r>
  <r>
    <x v="148"/>
    <x v="15"/>
    <x v="17"/>
    <n v="8.33"/>
    <n v="10"/>
    <n v="83.3"/>
    <x v="4"/>
    <x v="4"/>
    <x v="5"/>
    <s v="Mon"/>
    <x v="24"/>
  </r>
  <r>
    <x v="149"/>
    <x v="30"/>
    <x v="24"/>
    <n v="162"/>
    <n v="15"/>
    <n v="2430"/>
    <x v="8"/>
    <x v="4"/>
    <x v="5"/>
    <s v="Tue"/>
    <x v="24"/>
  </r>
  <r>
    <x v="150"/>
    <x v="32"/>
    <x v="14"/>
    <n v="210"/>
    <n v="5"/>
    <n v="1050"/>
    <x v="0"/>
    <x v="5"/>
    <x v="5"/>
    <s v="Wed"/>
    <x v="24"/>
  </r>
  <r>
    <x v="150"/>
    <x v="20"/>
    <x v="39"/>
    <n v="42.55"/>
    <n v="11"/>
    <n v="468.04999999999995"/>
    <x v="7"/>
    <x v="4"/>
    <x v="5"/>
    <s v="Wed"/>
    <x v="24"/>
  </r>
  <r>
    <x v="150"/>
    <x v="29"/>
    <x v="4"/>
    <n v="15.719999999999999"/>
    <n v="12"/>
    <n v="188.64"/>
    <x v="0"/>
    <x v="6"/>
    <x v="5"/>
    <s v="Wed"/>
    <x v="24"/>
  </r>
  <r>
    <x v="150"/>
    <x v="7"/>
    <x v="10"/>
    <n v="53.11"/>
    <n v="15"/>
    <n v="796.65"/>
    <x v="1"/>
    <x v="4"/>
    <x v="5"/>
    <s v="Wed"/>
    <x v="24"/>
  </r>
  <r>
    <x v="150"/>
    <x v="30"/>
    <x v="31"/>
    <n v="103.88"/>
    <n v="26"/>
    <n v="2700.88"/>
    <x v="8"/>
    <x v="4"/>
    <x v="5"/>
    <s v="Wed"/>
    <x v="24"/>
  </r>
  <r>
    <x v="151"/>
    <x v="32"/>
    <x v="25"/>
    <n v="16.64"/>
    <n v="38"/>
    <n v="632.32000000000005"/>
    <x v="0"/>
    <x v="5"/>
    <x v="5"/>
    <s v="Thu"/>
    <x v="24"/>
  </r>
  <r>
    <x v="151"/>
    <x v="7"/>
    <x v="14"/>
    <n v="210"/>
    <n v="24"/>
    <n v="5040"/>
    <x v="1"/>
    <x v="4"/>
    <x v="5"/>
    <s v="Thu"/>
    <x v="24"/>
  </r>
  <r>
    <x v="152"/>
    <x v="0"/>
    <x v="21"/>
    <n v="58.3"/>
    <n v="35"/>
    <n v="2040.5"/>
    <x v="0"/>
    <x v="0"/>
    <x v="5"/>
    <s v="Fri"/>
    <x v="24"/>
  </r>
  <r>
    <x v="152"/>
    <x v="21"/>
    <x v="17"/>
    <n v="8.33"/>
    <n v="13"/>
    <n v="108.29"/>
    <x v="8"/>
    <x v="4"/>
    <x v="5"/>
    <s v="Fri"/>
    <x v="24"/>
  </r>
  <r>
    <x v="152"/>
    <x v="10"/>
    <x v="6"/>
    <n v="122.08"/>
    <n v="5"/>
    <n v="610.4"/>
    <x v="2"/>
    <x v="4"/>
    <x v="5"/>
    <s v="Fri"/>
    <x v="24"/>
  </r>
  <r>
    <x v="152"/>
    <x v="20"/>
    <x v="13"/>
    <n v="117.48"/>
    <n v="8"/>
    <n v="939.84"/>
    <x v="7"/>
    <x v="4"/>
    <x v="5"/>
    <s v="Fri"/>
    <x v="24"/>
  </r>
  <r>
    <x v="153"/>
    <x v="13"/>
    <x v="28"/>
    <n v="82.08"/>
    <n v="11"/>
    <n v="902.88"/>
    <x v="5"/>
    <x v="4"/>
    <x v="5"/>
    <s v="Sat"/>
    <x v="24"/>
  </r>
  <r>
    <x v="153"/>
    <x v="23"/>
    <x v="20"/>
    <n v="142.80000000000001"/>
    <n v="8"/>
    <n v="1142.4000000000001"/>
    <x v="0"/>
    <x v="6"/>
    <x v="5"/>
    <s v="Sat"/>
    <x v="24"/>
  </r>
  <r>
    <x v="153"/>
    <x v="22"/>
    <x v="38"/>
    <n v="173.88"/>
    <n v="5"/>
    <n v="869.4"/>
    <x v="9"/>
    <x v="4"/>
    <x v="5"/>
    <s v="Sat"/>
    <x v="24"/>
  </r>
  <r>
    <x v="154"/>
    <x v="15"/>
    <x v="25"/>
    <n v="16.64"/>
    <n v="1"/>
    <n v="16.64"/>
    <x v="4"/>
    <x v="4"/>
    <x v="5"/>
    <s v="Sun"/>
    <x v="25"/>
  </r>
  <r>
    <x v="154"/>
    <x v="30"/>
    <x v="23"/>
    <n v="48.4"/>
    <n v="30"/>
    <n v="1452"/>
    <x v="8"/>
    <x v="4"/>
    <x v="5"/>
    <s v="Sun"/>
    <x v="25"/>
  </r>
  <r>
    <x v="155"/>
    <x v="0"/>
    <x v="33"/>
    <n v="156.78"/>
    <n v="14"/>
    <n v="2194.92"/>
    <x v="0"/>
    <x v="0"/>
    <x v="5"/>
    <s v="Mon"/>
    <x v="25"/>
  </r>
  <r>
    <x v="156"/>
    <x v="16"/>
    <x v="31"/>
    <n v="103.88"/>
    <n v="4"/>
    <n v="415.52"/>
    <x v="6"/>
    <x v="4"/>
    <x v="5"/>
    <s v="Tue"/>
    <x v="25"/>
  </r>
  <r>
    <x v="156"/>
    <x v="24"/>
    <x v="18"/>
    <n v="115.2"/>
    <n v="10"/>
    <n v="1152"/>
    <x v="2"/>
    <x v="4"/>
    <x v="5"/>
    <s v="Tue"/>
    <x v="25"/>
  </r>
  <r>
    <x v="157"/>
    <x v="28"/>
    <x v="25"/>
    <n v="16.64"/>
    <n v="4"/>
    <n v="66.56"/>
    <x v="11"/>
    <x v="4"/>
    <x v="5"/>
    <s v="Wed"/>
    <x v="25"/>
  </r>
  <r>
    <x v="157"/>
    <x v="26"/>
    <x v="26"/>
    <n v="94.62"/>
    <n v="22"/>
    <n v="2081.6400000000003"/>
    <x v="10"/>
    <x v="4"/>
    <x v="5"/>
    <s v="Wed"/>
    <x v="25"/>
  </r>
  <r>
    <x v="157"/>
    <x v="30"/>
    <x v="9"/>
    <n v="48.84"/>
    <n v="8"/>
    <n v="390.72"/>
    <x v="8"/>
    <x v="4"/>
    <x v="5"/>
    <s v="Wed"/>
    <x v="25"/>
  </r>
  <r>
    <x v="158"/>
    <x v="21"/>
    <x v="18"/>
    <n v="115.2"/>
    <n v="10"/>
    <n v="1152"/>
    <x v="8"/>
    <x v="4"/>
    <x v="5"/>
    <s v="Thu"/>
    <x v="25"/>
  </r>
  <r>
    <x v="158"/>
    <x v="32"/>
    <x v="23"/>
    <n v="48.4"/>
    <n v="13"/>
    <n v="629.19999999999993"/>
    <x v="0"/>
    <x v="5"/>
    <x v="5"/>
    <s v="Thu"/>
    <x v="25"/>
  </r>
  <r>
    <x v="158"/>
    <x v="29"/>
    <x v="29"/>
    <n v="76.25"/>
    <n v="23"/>
    <n v="1753.75"/>
    <x v="0"/>
    <x v="6"/>
    <x v="5"/>
    <s v="Thu"/>
    <x v="25"/>
  </r>
  <r>
    <x v="158"/>
    <x v="35"/>
    <x v="40"/>
    <n v="49.21"/>
    <n v="7"/>
    <n v="344.47"/>
    <x v="13"/>
    <x v="4"/>
    <x v="5"/>
    <s v="Thu"/>
    <x v="25"/>
  </r>
  <r>
    <x v="159"/>
    <x v="32"/>
    <x v="11"/>
    <n v="94.17"/>
    <n v="7"/>
    <n v="659.19"/>
    <x v="0"/>
    <x v="5"/>
    <x v="5"/>
    <s v="Fri"/>
    <x v="25"/>
  </r>
  <r>
    <x v="160"/>
    <x v="15"/>
    <x v="8"/>
    <n v="83.08"/>
    <n v="12"/>
    <n v="996.96"/>
    <x v="4"/>
    <x v="4"/>
    <x v="5"/>
    <s v="Sat"/>
    <x v="25"/>
  </r>
  <r>
    <x v="160"/>
    <x v="14"/>
    <x v="41"/>
    <n v="7.8599999999999994"/>
    <n v="7"/>
    <n v="55.019999999999996"/>
    <x v="0"/>
    <x v="3"/>
    <x v="5"/>
    <s v="Sat"/>
    <x v="25"/>
  </r>
  <r>
    <x v="160"/>
    <x v="30"/>
    <x v="21"/>
    <n v="58.3"/>
    <n v="4"/>
    <n v="233.2"/>
    <x v="8"/>
    <x v="4"/>
    <x v="5"/>
    <s v="Sat"/>
    <x v="25"/>
  </r>
  <r>
    <x v="161"/>
    <x v="35"/>
    <x v="35"/>
    <n v="155.61000000000001"/>
    <n v="11"/>
    <n v="1711.71"/>
    <x v="13"/>
    <x v="4"/>
    <x v="5"/>
    <s v="Sun"/>
    <x v="26"/>
  </r>
  <r>
    <x v="162"/>
    <x v="15"/>
    <x v="30"/>
    <n v="162.54"/>
    <n v="2"/>
    <n v="325.08"/>
    <x v="4"/>
    <x v="4"/>
    <x v="5"/>
    <s v="Mon"/>
    <x v="26"/>
  </r>
  <r>
    <x v="162"/>
    <x v="18"/>
    <x v="12"/>
    <n v="6.7"/>
    <n v="7"/>
    <n v="46.9"/>
    <x v="0"/>
    <x v="5"/>
    <x v="5"/>
    <s v="Mon"/>
    <x v="26"/>
  </r>
  <r>
    <x v="163"/>
    <x v="22"/>
    <x v="7"/>
    <n v="146.72"/>
    <n v="4"/>
    <n v="586.88"/>
    <x v="9"/>
    <x v="4"/>
    <x v="5"/>
    <s v="Tue"/>
    <x v="26"/>
  </r>
  <r>
    <x v="164"/>
    <x v="23"/>
    <x v="8"/>
    <n v="83.08"/>
    <n v="8"/>
    <n v="664.64"/>
    <x v="0"/>
    <x v="6"/>
    <x v="5"/>
    <s v="Wed"/>
    <x v="26"/>
  </r>
  <r>
    <x v="165"/>
    <x v="16"/>
    <x v="35"/>
    <n v="155.61000000000001"/>
    <n v="11"/>
    <n v="1711.71"/>
    <x v="6"/>
    <x v="4"/>
    <x v="6"/>
    <s v="Thu"/>
    <x v="26"/>
  </r>
  <r>
    <x v="165"/>
    <x v="30"/>
    <x v="18"/>
    <n v="115.2"/>
    <n v="22"/>
    <n v="2534.4"/>
    <x v="8"/>
    <x v="4"/>
    <x v="6"/>
    <s v="Thu"/>
    <x v="26"/>
  </r>
  <r>
    <x v="166"/>
    <x v="13"/>
    <x v="5"/>
    <n v="164.28"/>
    <n v="11"/>
    <n v="1807.08"/>
    <x v="5"/>
    <x v="4"/>
    <x v="6"/>
    <s v="Fri"/>
    <x v="26"/>
  </r>
  <r>
    <x v="166"/>
    <x v="5"/>
    <x v="17"/>
    <n v="8.33"/>
    <n v="21"/>
    <n v="174.93"/>
    <x v="0"/>
    <x v="2"/>
    <x v="6"/>
    <s v="Fri"/>
    <x v="26"/>
  </r>
  <r>
    <x v="166"/>
    <x v="29"/>
    <x v="36"/>
    <n v="57.120000000000005"/>
    <n v="2"/>
    <n v="114.24000000000001"/>
    <x v="0"/>
    <x v="6"/>
    <x v="6"/>
    <s v="Fri"/>
    <x v="26"/>
  </r>
  <r>
    <x v="167"/>
    <x v="33"/>
    <x v="19"/>
    <n v="80.94"/>
    <n v="8"/>
    <n v="647.52"/>
    <x v="12"/>
    <x v="4"/>
    <x v="6"/>
    <s v="Sat"/>
    <x v="26"/>
  </r>
  <r>
    <x v="167"/>
    <x v="28"/>
    <x v="3"/>
    <n v="119.7"/>
    <n v="15"/>
    <n v="1795.5"/>
    <x v="11"/>
    <x v="4"/>
    <x v="6"/>
    <s v="Sat"/>
    <x v="26"/>
  </r>
  <r>
    <x v="167"/>
    <x v="20"/>
    <x v="3"/>
    <n v="119.7"/>
    <n v="9"/>
    <n v="1077.3"/>
    <x v="7"/>
    <x v="4"/>
    <x v="6"/>
    <s v="Sat"/>
    <x v="26"/>
  </r>
  <r>
    <x v="168"/>
    <x v="29"/>
    <x v="15"/>
    <n v="47.730000000000004"/>
    <n v="7"/>
    <n v="334.11"/>
    <x v="0"/>
    <x v="6"/>
    <x v="6"/>
    <s v="Sun"/>
    <x v="27"/>
  </r>
  <r>
    <x v="168"/>
    <x v="26"/>
    <x v="38"/>
    <n v="173.88"/>
    <n v="7"/>
    <n v="1217.1599999999999"/>
    <x v="10"/>
    <x v="4"/>
    <x v="6"/>
    <s v="Sun"/>
    <x v="27"/>
  </r>
  <r>
    <x v="169"/>
    <x v="4"/>
    <x v="17"/>
    <n v="8.33"/>
    <n v="7"/>
    <n v="58.31"/>
    <x v="0"/>
    <x v="3"/>
    <x v="6"/>
    <s v="Mon"/>
    <x v="27"/>
  </r>
  <r>
    <x v="169"/>
    <x v="22"/>
    <x v="4"/>
    <n v="15.719999999999999"/>
    <n v="8"/>
    <n v="125.75999999999999"/>
    <x v="9"/>
    <x v="4"/>
    <x v="6"/>
    <s v="Mon"/>
    <x v="27"/>
  </r>
  <r>
    <x v="169"/>
    <x v="20"/>
    <x v="20"/>
    <n v="142.80000000000001"/>
    <n v="8"/>
    <n v="1142.4000000000001"/>
    <x v="7"/>
    <x v="4"/>
    <x v="6"/>
    <s v="Mon"/>
    <x v="27"/>
  </r>
  <r>
    <x v="170"/>
    <x v="4"/>
    <x v="0"/>
    <n v="156.96"/>
    <n v="11"/>
    <n v="1726.5600000000002"/>
    <x v="0"/>
    <x v="3"/>
    <x v="6"/>
    <s v="Tue"/>
    <x v="27"/>
  </r>
  <r>
    <x v="170"/>
    <x v="17"/>
    <x v="38"/>
    <n v="173.88"/>
    <n v="15"/>
    <n v="2608.1999999999998"/>
    <x v="5"/>
    <x v="4"/>
    <x v="6"/>
    <s v="Tue"/>
    <x v="27"/>
  </r>
  <r>
    <x v="170"/>
    <x v="22"/>
    <x v="38"/>
    <n v="173.88"/>
    <n v="2"/>
    <n v="347.76"/>
    <x v="9"/>
    <x v="4"/>
    <x v="6"/>
    <s v="Tue"/>
    <x v="27"/>
  </r>
  <r>
    <x v="171"/>
    <x v="29"/>
    <x v="40"/>
    <n v="49.21"/>
    <n v="2"/>
    <n v="98.42"/>
    <x v="0"/>
    <x v="6"/>
    <x v="6"/>
    <s v="Thu"/>
    <x v="27"/>
  </r>
  <r>
    <x v="171"/>
    <x v="35"/>
    <x v="9"/>
    <n v="48.84"/>
    <n v="10"/>
    <n v="488.40000000000003"/>
    <x v="13"/>
    <x v="4"/>
    <x v="6"/>
    <s v="Thu"/>
    <x v="27"/>
  </r>
  <r>
    <x v="172"/>
    <x v="17"/>
    <x v="34"/>
    <n v="85.5"/>
    <n v="11"/>
    <n v="940.5"/>
    <x v="5"/>
    <x v="4"/>
    <x v="6"/>
    <s v="Fri"/>
    <x v="27"/>
  </r>
  <r>
    <x v="173"/>
    <x v="37"/>
    <x v="5"/>
    <n v="164.28"/>
    <n v="15"/>
    <n v="2464.1999999999998"/>
    <x v="14"/>
    <x v="4"/>
    <x v="6"/>
    <s v="Sat"/>
    <x v="27"/>
  </r>
  <r>
    <x v="173"/>
    <x v="29"/>
    <x v="13"/>
    <n v="117.48"/>
    <n v="12"/>
    <n v="1409.76"/>
    <x v="0"/>
    <x v="6"/>
    <x v="6"/>
    <s v="Sat"/>
    <x v="27"/>
  </r>
  <r>
    <x v="173"/>
    <x v="35"/>
    <x v="21"/>
    <n v="58.3"/>
    <n v="6"/>
    <n v="349.79999999999995"/>
    <x v="13"/>
    <x v="4"/>
    <x v="6"/>
    <s v="Sat"/>
    <x v="27"/>
  </r>
  <r>
    <x v="174"/>
    <x v="30"/>
    <x v="41"/>
    <n v="7.8599999999999994"/>
    <n v="4"/>
    <n v="31.439999999999998"/>
    <x v="8"/>
    <x v="4"/>
    <x v="6"/>
    <s v="Sun"/>
    <x v="28"/>
  </r>
  <r>
    <x v="175"/>
    <x v="15"/>
    <x v="37"/>
    <n v="41.81"/>
    <n v="12"/>
    <n v="501.72"/>
    <x v="4"/>
    <x v="4"/>
    <x v="6"/>
    <s v="Mon"/>
    <x v="28"/>
  </r>
  <r>
    <x v="175"/>
    <x v="22"/>
    <x v="39"/>
    <n v="42.55"/>
    <n v="4"/>
    <n v="170.2"/>
    <x v="9"/>
    <x v="4"/>
    <x v="6"/>
    <s v="Mon"/>
    <x v="28"/>
  </r>
  <r>
    <x v="176"/>
    <x v="16"/>
    <x v="14"/>
    <n v="210"/>
    <n v="1"/>
    <n v="210"/>
    <x v="6"/>
    <x v="4"/>
    <x v="6"/>
    <s v="Tue"/>
    <x v="28"/>
  </r>
  <r>
    <x v="176"/>
    <x v="20"/>
    <x v="17"/>
    <n v="8.33"/>
    <n v="7"/>
    <n v="58.31"/>
    <x v="7"/>
    <x v="4"/>
    <x v="6"/>
    <s v="Tue"/>
    <x v="28"/>
  </r>
  <r>
    <x v="176"/>
    <x v="1"/>
    <x v="1"/>
    <n v="141.57"/>
    <n v="5"/>
    <n v="707.84999999999991"/>
    <x v="0"/>
    <x v="1"/>
    <x v="6"/>
    <s v="Tue"/>
    <x v="28"/>
  </r>
  <r>
    <x v="177"/>
    <x v="33"/>
    <x v="3"/>
    <n v="119.7"/>
    <n v="9"/>
    <n v="1077.3"/>
    <x v="12"/>
    <x v="4"/>
    <x v="6"/>
    <s v="Wed"/>
    <x v="28"/>
  </r>
  <r>
    <x v="177"/>
    <x v="20"/>
    <x v="11"/>
    <n v="94.17"/>
    <n v="13"/>
    <n v="1224.21"/>
    <x v="7"/>
    <x v="4"/>
    <x v="6"/>
    <s v="Wed"/>
    <x v="28"/>
  </r>
  <r>
    <x v="178"/>
    <x v="17"/>
    <x v="8"/>
    <n v="83.08"/>
    <n v="18"/>
    <n v="1495.44"/>
    <x v="5"/>
    <x v="4"/>
    <x v="6"/>
    <s v="Thu"/>
    <x v="28"/>
  </r>
  <r>
    <x v="178"/>
    <x v="30"/>
    <x v="9"/>
    <n v="48.84"/>
    <n v="2"/>
    <n v="97.68"/>
    <x v="8"/>
    <x v="4"/>
    <x v="6"/>
    <s v="Thu"/>
    <x v="28"/>
  </r>
  <r>
    <x v="179"/>
    <x v="15"/>
    <x v="13"/>
    <n v="117.48"/>
    <n v="33"/>
    <n v="3876.84"/>
    <x v="4"/>
    <x v="4"/>
    <x v="6"/>
    <s v="Fri"/>
    <x v="28"/>
  </r>
  <r>
    <x v="179"/>
    <x v="36"/>
    <x v="27"/>
    <n v="149.46"/>
    <n v="8"/>
    <n v="1195.68"/>
    <x v="0"/>
    <x v="1"/>
    <x v="6"/>
    <s v="Fri"/>
    <x v="28"/>
  </r>
  <r>
    <x v="179"/>
    <x v="21"/>
    <x v="16"/>
    <n v="104.16"/>
    <n v="35"/>
    <n v="3645.6"/>
    <x v="8"/>
    <x v="4"/>
    <x v="6"/>
    <s v="Fri"/>
    <x v="28"/>
  </r>
  <r>
    <x v="180"/>
    <x v="24"/>
    <x v="31"/>
    <n v="103.88"/>
    <n v="38"/>
    <n v="3947.4399999999996"/>
    <x v="2"/>
    <x v="4"/>
    <x v="6"/>
    <s v="Sat"/>
    <x v="28"/>
  </r>
  <r>
    <x v="180"/>
    <x v="17"/>
    <x v="1"/>
    <n v="141.57"/>
    <n v="18"/>
    <n v="2548.2599999999998"/>
    <x v="5"/>
    <x v="4"/>
    <x v="6"/>
    <s v="Sat"/>
    <x v="28"/>
  </r>
  <r>
    <x v="180"/>
    <x v="34"/>
    <x v="27"/>
    <n v="149.46"/>
    <n v="30"/>
    <n v="4483.8"/>
    <x v="0"/>
    <x v="0"/>
    <x v="6"/>
    <s v="Sat"/>
    <x v="28"/>
  </r>
  <r>
    <x v="180"/>
    <x v="25"/>
    <x v="38"/>
    <n v="173.88"/>
    <n v="8"/>
    <n v="1391.04"/>
    <x v="0"/>
    <x v="2"/>
    <x v="6"/>
    <s v="Sat"/>
    <x v="28"/>
  </r>
  <r>
    <x v="181"/>
    <x v="10"/>
    <x v="36"/>
    <n v="57.120000000000005"/>
    <n v="14"/>
    <n v="799.68000000000006"/>
    <x v="2"/>
    <x v="4"/>
    <x v="6"/>
    <s v="Sun"/>
    <x v="29"/>
  </r>
  <r>
    <x v="181"/>
    <x v="34"/>
    <x v="5"/>
    <n v="164.28"/>
    <n v="12"/>
    <n v="1971.3600000000001"/>
    <x v="0"/>
    <x v="0"/>
    <x v="6"/>
    <s v="Sun"/>
    <x v="29"/>
  </r>
  <r>
    <x v="182"/>
    <x v="5"/>
    <x v="2"/>
    <n v="79.92"/>
    <n v="11"/>
    <n v="879.12"/>
    <x v="0"/>
    <x v="2"/>
    <x v="6"/>
    <s v="Tue"/>
    <x v="29"/>
  </r>
  <r>
    <x v="182"/>
    <x v="18"/>
    <x v="24"/>
    <n v="162"/>
    <n v="8"/>
    <n v="1296"/>
    <x v="0"/>
    <x v="5"/>
    <x v="6"/>
    <s v="Tue"/>
    <x v="29"/>
  </r>
  <r>
    <x v="182"/>
    <x v="1"/>
    <x v="8"/>
    <n v="83.08"/>
    <n v="5"/>
    <n v="415.4"/>
    <x v="0"/>
    <x v="1"/>
    <x v="6"/>
    <s v="Tue"/>
    <x v="29"/>
  </r>
  <r>
    <x v="183"/>
    <x v="33"/>
    <x v="10"/>
    <n v="53.11"/>
    <n v="15"/>
    <n v="796.65"/>
    <x v="12"/>
    <x v="4"/>
    <x v="6"/>
    <s v="Wed"/>
    <x v="29"/>
  </r>
  <r>
    <x v="184"/>
    <x v="12"/>
    <x v="37"/>
    <n v="41.81"/>
    <n v="5"/>
    <n v="209.05"/>
    <x v="4"/>
    <x v="4"/>
    <x v="6"/>
    <s v="Thu"/>
    <x v="29"/>
  </r>
  <r>
    <x v="184"/>
    <x v="37"/>
    <x v="0"/>
    <n v="156.96"/>
    <n v="14"/>
    <n v="2197.44"/>
    <x v="14"/>
    <x v="4"/>
    <x v="6"/>
    <s v="Thu"/>
    <x v="29"/>
  </r>
  <r>
    <x v="184"/>
    <x v="36"/>
    <x v="13"/>
    <n v="117.48"/>
    <n v="27"/>
    <n v="3171.96"/>
    <x v="0"/>
    <x v="1"/>
    <x v="6"/>
    <s v="Thu"/>
    <x v="29"/>
  </r>
  <r>
    <x v="184"/>
    <x v="28"/>
    <x v="42"/>
    <n v="24.66"/>
    <n v="3"/>
    <n v="73.98"/>
    <x v="11"/>
    <x v="4"/>
    <x v="6"/>
    <s v="Thu"/>
    <x v="29"/>
  </r>
  <r>
    <x v="184"/>
    <x v="9"/>
    <x v="21"/>
    <n v="58.3"/>
    <n v="6"/>
    <n v="349.79999999999995"/>
    <x v="0"/>
    <x v="0"/>
    <x v="6"/>
    <s v="Thu"/>
    <x v="29"/>
  </r>
  <r>
    <x v="185"/>
    <x v="24"/>
    <x v="40"/>
    <n v="49.21"/>
    <n v="2"/>
    <n v="98.42"/>
    <x v="2"/>
    <x v="4"/>
    <x v="6"/>
    <s v="Fri"/>
    <x v="29"/>
  </r>
  <r>
    <x v="185"/>
    <x v="32"/>
    <x v="8"/>
    <n v="83.08"/>
    <n v="9"/>
    <n v="747.72"/>
    <x v="0"/>
    <x v="5"/>
    <x v="6"/>
    <s v="Fri"/>
    <x v="29"/>
  </r>
  <r>
    <x v="185"/>
    <x v="38"/>
    <x v="22"/>
    <n v="85.76"/>
    <n v="8"/>
    <n v="686.08"/>
    <x v="11"/>
    <x v="4"/>
    <x v="6"/>
    <s v="Fri"/>
    <x v="29"/>
  </r>
  <r>
    <x v="185"/>
    <x v="25"/>
    <x v="43"/>
    <n v="96.3"/>
    <n v="7"/>
    <n v="674.1"/>
    <x v="0"/>
    <x v="2"/>
    <x v="6"/>
    <s v="Fri"/>
    <x v="29"/>
  </r>
  <r>
    <x v="186"/>
    <x v="13"/>
    <x v="34"/>
    <n v="85.5"/>
    <n v="14"/>
    <n v="1197"/>
    <x v="5"/>
    <x v="4"/>
    <x v="6"/>
    <s v="Sat"/>
    <x v="29"/>
  </r>
  <r>
    <x v="186"/>
    <x v="23"/>
    <x v="41"/>
    <n v="7.8599999999999994"/>
    <n v="4"/>
    <n v="31.439999999999998"/>
    <x v="0"/>
    <x v="6"/>
    <x v="6"/>
    <s v="Sat"/>
    <x v="29"/>
  </r>
  <r>
    <x v="186"/>
    <x v="26"/>
    <x v="36"/>
    <n v="57.120000000000005"/>
    <n v="1"/>
    <n v="57.120000000000005"/>
    <x v="10"/>
    <x v="4"/>
    <x v="6"/>
    <s v="Sat"/>
    <x v="29"/>
  </r>
  <r>
    <x v="187"/>
    <x v="38"/>
    <x v="19"/>
    <n v="80.94"/>
    <n v="13"/>
    <n v="1052.22"/>
    <x v="11"/>
    <x v="4"/>
    <x v="6"/>
    <s v="Sun"/>
    <x v="30"/>
  </r>
  <r>
    <x v="187"/>
    <x v="34"/>
    <x v="28"/>
    <n v="82.08"/>
    <n v="2"/>
    <n v="164.16"/>
    <x v="0"/>
    <x v="0"/>
    <x v="6"/>
    <s v="Sun"/>
    <x v="30"/>
  </r>
  <r>
    <x v="187"/>
    <x v="35"/>
    <x v="33"/>
    <n v="156.78"/>
    <n v="12"/>
    <n v="1881.3600000000001"/>
    <x v="13"/>
    <x v="4"/>
    <x v="6"/>
    <s v="Sun"/>
    <x v="30"/>
  </r>
  <r>
    <x v="188"/>
    <x v="26"/>
    <x v="42"/>
    <n v="24.66"/>
    <n v="1"/>
    <n v="24.66"/>
    <x v="10"/>
    <x v="4"/>
    <x v="6"/>
    <s v="Mon"/>
    <x v="30"/>
  </r>
  <r>
    <x v="188"/>
    <x v="7"/>
    <x v="19"/>
    <n v="80.94"/>
    <n v="10"/>
    <n v="809.4"/>
    <x v="1"/>
    <x v="4"/>
    <x v="6"/>
    <s v="Mon"/>
    <x v="30"/>
  </r>
  <r>
    <x v="189"/>
    <x v="21"/>
    <x v="21"/>
    <n v="58.3"/>
    <n v="25"/>
    <n v="1457.5"/>
    <x v="8"/>
    <x v="4"/>
    <x v="6"/>
    <s v="Tue"/>
    <x v="30"/>
  </r>
  <r>
    <x v="189"/>
    <x v="29"/>
    <x v="43"/>
    <n v="96.3"/>
    <n v="38"/>
    <n v="3659.4"/>
    <x v="0"/>
    <x v="6"/>
    <x v="6"/>
    <s v="Tue"/>
    <x v="30"/>
  </r>
  <r>
    <x v="190"/>
    <x v="16"/>
    <x v="32"/>
    <n v="201.28"/>
    <n v="37"/>
    <n v="7447.36"/>
    <x v="6"/>
    <x v="4"/>
    <x v="6"/>
    <s v="Thu"/>
    <x v="30"/>
  </r>
  <r>
    <x v="190"/>
    <x v="23"/>
    <x v="28"/>
    <n v="82.08"/>
    <n v="15"/>
    <n v="1231.2"/>
    <x v="0"/>
    <x v="6"/>
    <x v="6"/>
    <s v="Thu"/>
    <x v="30"/>
  </r>
  <r>
    <x v="191"/>
    <x v="32"/>
    <x v="34"/>
    <n v="85.5"/>
    <n v="25"/>
    <n v="2137.5"/>
    <x v="0"/>
    <x v="5"/>
    <x v="6"/>
    <s v="Fri"/>
    <x v="30"/>
  </r>
  <r>
    <x v="191"/>
    <x v="35"/>
    <x v="43"/>
    <n v="96.3"/>
    <n v="12"/>
    <n v="1155.5999999999999"/>
    <x v="13"/>
    <x v="4"/>
    <x v="6"/>
    <s v="Fri"/>
    <x v="30"/>
  </r>
  <r>
    <x v="192"/>
    <x v="36"/>
    <x v="11"/>
    <n v="94.17"/>
    <n v="12"/>
    <n v="1130.04"/>
    <x v="0"/>
    <x v="1"/>
    <x v="6"/>
    <s v="Sat"/>
    <x v="30"/>
  </r>
  <r>
    <x v="192"/>
    <x v="25"/>
    <x v="24"/>
    <n v="162"/>
    <n v="31"/>
    <n v="5022"/>
    <x v="0"/>
    <x v="2"/>
    <x v="6"/>
    <s v="Sat"/>
    <x v="30"/>
  </r>
  <r>
    <x v="193"/>
    <x v="1"/>
    <x v="31"/>
    <n v="103.88"/>
    <n v="11"/>
    <n v="1142.6799999999998"/>
    <x v="0"/>
    <x v="1"/>
    <x v="7"/>
    <s v="Sun"/>
    <x v="31"/>
  </r>
  <r>
    <x v="194"/>
    <x v="17"/>
    <x v="27"/>
    <n v="149.46"/>
    <n v="3"/>
    <n v="448.38"/>
    <x v="5"/>
    <x v="4"/>
    <x v="7"/>
    <s v="Mon"/>
    <x v="31"/>
  </r>
  <r>
    <x v="195"/>
    <x v="24"/>
    <x v="21"/>
    <n v="58.3"/>
    <n v="12"/>
    <n v="699.59999999999991"/>
    <x v="2"/>
    <x v="4"/>
    <x v="7"/>
    <s v="Tue"/>
    <x v="31"/>
  </r>
  <r>
    <x v="195"/>
    <x v="20"/>
    <x v="1"/>
    <n v="141.57"/>
    <n v="13"/>
    <n v="1840.4099999999999"/>
    <x v="7"/>
    <x v="4"/>
    <x v="7"/>
    <s v="Tue"/>
    <x v="31"/>
  </r>
  <r>
    <x v="195"/>
    <x v="20"/>
    <x v="11"/>
    <n v="94.17"/>
    <n v="5"/>
    <n v="470.85"/>
    <x v="7"/>
    <x v="4"/>
    <x v="7"/>
    <s v="Tue"/>
    <x v="31"/>
  </r>
  <r>
    <x v="195"/>
    <x v="7"/>
    <x v="7"/>
    <n v="146.72"/>
    <n v="8"/>
    <n v="1173.76"/>
    <x v="1"/>
    <x v="4"/>
    <x v="7"/>
    <s v="Tue"/>
    <x v="31"/>
  </r>
  <r>
    <x v="196"/>
    <x v="33"/>
    <x v="42"/>
    <n v="24.66"/>
    <n v="16"/>
    <n v="394.56"/>
    <x v="12"/>
    <x v="4"/>
    <x v="7"/>
    <s v="Wed"/>
    <x v="31"/>
  </r>
  <r>
    <x v="197"/>
    <x v="21"/>
    <x v="37"/>
    <n v="41.81"/>
    <n v="14"/>
    <n v="585.34"/>
    <x v="8"/>
    <x v="4"/>
    <x v="7"/>
    <s v="Thu"/>
    <x v="31"/>
  </r>
  <r>
    <x v="198"/>
    <x v="4"/>
    <x v="22"/>
    <n v="85.76"/>
    <n v="1"/>
    <n v="85.76"/>
    <x v="0"/>
    <x v="3"/>
    <x v="7"/>
    <s v="Fri"/>
    <x v="31"/>
  </r>
  <r>
    <x v="198"/>
    <x v="20"/>
    <x v="25"/>
    <n v="16.64"/>
    <n v="9"/>
    <n v="149.76"/>
    <x v="7"/>
    <x v="4"/>
    <x v="7"/>
    <s v="Fri"/>
    <x v="31"/>
  </r>
  <r>
    <x v="199"/>
    <x v="31"/>
    <x v="30"/>
    <n v="162.54"/>
    <n v="11"/>
    <n v="1787.9399999999998"/>
    <x v="9"/>
    <x v="4"/>
    <x v="7"/>
    <s v="Sun"/>
    <x v="32"/>
  </r>
  <r>
    <x v="199"/>
    <x v="32"/>
    <x v="13"/>
    <n v="117.48"/>
    <n v="12"/>
    <n v="1409.76"/>
    <x v="0"/>
    <x v="5"/>
    <x v="7"/>
    <s v="Sun"/>
    <x v="32"/>
  </r>
  <r>
    <x v="199"/>
    <x v="28"/>
    <x v="4"/>
    <n v="15.719999999999999"/>
    <n v="38"/>
    <n v="597.3599999999999"/>
    <x v="11"/>
    <x v="4"/>
    <x v="7"/>
    <s v="Sun"/>
    <x v="32"/>
  </r>
  <r>
    <x v="199"/>
    <x v="18"/>
    <x v="25"/>
    <n v="16.64"/>
    <n v="2"/>
    <n v="33.28"/>
    <x v="0"/>
    <x v="5"/>
    <x v="7"/>
    <s v="Sun"/>
    <x v="32"/>
  </r>
  <r>
    <x v="200"/>
    <x v="12"/>
    <x v="2"/>
    <n v="79.92"/>
    <n v="38"/>
    <n v="3036.96"/>
    <x v="4"/>
    <x v="4"/>
    <x v="7"/>
    <s v="Tue"/>
    <x v="32"/>
  </r>
  <r>
    <x v="200"/>
    <x v="26"/>
    <x v="35"/>
    <n v="155.61000000000001"/>
    <n v="4"/>
    <n v="622.44000000000005"/>
    <x v="10"/>
    <x v="4"/>
    <x v="7"/>
    <s v="Tue"/>
    <x v="32"/>
  </r>
  <r>
    <x v="200"/>
    <x v="1"/>
    <x v="28"/>
    <n v="82.08"/>
    <n v="10"/>
    <n v="820.8"/>
    <x v="0"/>
    <x v="1"/>
    <x v="7"/>
    <s v="Tue"/>
    <x v="32"/>
  </r>
  <r>
    <x v="200"/>
    <x v="30"/>
    <x v="34"/>
    <n v="85.5"/>
    <n v="6"/>
    <n v="513"/>
    <x v="8"/>
    <x v="4"/>
    <x v="7"/>
    <s v="Tue"/>
    <x v="32"/>
  </r>
  <r>
    <x v="201"/>
    <x v="23"/>
    <x v="27"/>
    <n v="149.46"/>
    <n v="4"/>
    <n v="597.84"/>
    <x v="0"/>
    <x v="6"/>
    <x v="7"/>
    <s v="Wed"/>
    <x v="32"/>
  </r>
  <r>
    <x v="201"/>
    <x v="22"/>
    <x v="32"/>
    <n v="201.28"/>
    <n v="20"/>
    <n v="4025.6"/>
    <x v="9"/>
    <x v="4"/>
    <x v="7"/>
    <s v="Wed"/>
    <x v="32"/>
  </r>
  <r>
    <x v="202"/>
    <x v="23"/>
    <x v="23"/>
    <n v="48.4"/>
    <n v="13"/>
    <n v="629.19999999999993"/>
    <x v="0"/>
    <x v="6"/>
    <x v="7"/>
    <s v="Fri"/>
    <x v="32"/>
  </r>
  <r>
    <x v="202"/>
    <x v="14"/>
    <x v="36"/>
    <n v="57.120000000000005"/>
    <n v="9"/>
    <n v="514.08000000000004"/>
    <x v="0"/>
    <x v="3"/>
    <x v="7"/>
    <s v="Fri"/>
    <x v="32"/>
  </r>
  <r>
    <x v="203"/>
    <x v="33"/>
    <x v="32"/>
    <n v="201.28"/>
    <n v="14"/>
    <n v="2817.92"/>
    <x v="12"/>
    <x v="4"/>
    <x v="7"/>
    <s v="Sat"/>
    <x v="32"/>
  </r>
  <r>
    <x v="204"/>
    <x v="23"/>
    <x v="4"/>
    <n v="15.719999999999999"/>
    <n v="7"/>
    <n v="110.03999999999999"/>
    <x v="0"/>
    <x v="6"/>
    <x v="7"/>
    <s v="Sun"/>
    <x v="33"/>
  </r>
  <r>
    <x v="204"/>
    <x v="11"/>
    <x v="23"/>
    <n v="48.4"/>
    <n v="10"/>
    <n v="484"/>
    <x v="3"/>
    <x v="4"/>
    <x v="7"/>
    <s v="Sun"/>
    <x v="33"/>
  </r>
  <r>
    <x v="205"/>
    <x v="13"/>
    <x v="41"/>
    <n v="7.8599999999999994"/>
    <n v="31"/>
    <n v="243.65999999999997"/>
    <x v="5"/>
    <x v="4"/>
    <x v="7"/>
    <s v="Mon"/>
    <x v="33"/>
  </r>
  <r>
    <x v="205"/>
    <x v="10"/>
    <x v="19"/>
    <n v="80.94"/>
    <n v="3"/>
    <n v="242.82"/>
    <x v="2"/>
    <x v="4"/>
    <x v="7"/>
    <s v="Mon"/>
    <x v="33"/>
  </r>
  <r>
    <x v="205"/>
    <x v="14"/>
    <x v="6"/>
    <n v="122.08"/>
    <n v="1"/>
    <n v="122.08"/>
    <x v="0"/>
    <x v="3"/>
    <x v="7"/>
    <s v="Mon"/>
    <x v="33"/>
  </r>
  <r>
    <x v="206"/>
    <x v="21"/>
    <x v="17"/>
    <n v="8.33"/>
    <n v="6"/>
    <n v="49.980000000000004"/>
    <x v="8"/>
    <x v="4"/>
    <x v="7"/>
    <s v="Wed"/>
    <x v="33"/>
  </r>
  <r>
    <x v="206"/>
    <x v="10"/>
    <x v="10"/>
    <n v="53.11"/>
    <n v="8"/>
    <n v="424.88"/>
    <x v="2"/>
    <x v="4"/>
    <x v="7"/>
    <s v="Wed"/>
    <x v="33"/>
  </r>
  <r>
    <x v="206"/>
    <x v="34"/>
    <x v="10"/>
    <n v="53.11"/>
    <n v="19"/>
    <n v="1009.09"/>
    <x v="0"/>
    <x v="0"/>
    <x v="7"/>
    <s v="Wed"/>
    <x v="33"/>
  </r>
  <r>
    <x v="206"/>
    <x v="11"/>
    <x v="5"/>
    <n v="164.28"/>
    <n v="2"/>
    <n v="328.56"/>
    <x v="3"/>
    <x v="4"/>
    <x v="7"/>
    <s v="Wed"/>
    <x v="33"/>
  </r>
  <r>
    <x v="207"/>
    <x v="31"/>
    <x v="15"/>
    <n v="47.730000000000004"/>
    <n v="3"/>
    <n v="143.19"/>
    <x v="9"/>
    <x v="4"/>
    <x v="7"/>
    <s v="Thu"/>
    <x v="33"/>
  </r>
  <r>
    <x v="208"/>
    <x v="33"/>
    <x v="3"/>
    <n v="119.7"/>
    <n v="14"/>
    <n v="1675.8"/>
    <x v="12"/>
    <x v="4"/>
    <x v="7"/>
    <s v="Fri"/>
    <x v="33"/>
  </r>
  <r>
    <x v="208"/>
    <x v="31"/>
    <x v="29"/>
    <n v="76.25"/>
    <n v="15"/>
    <n v="1143.75"/>
    <x v="9"/>
    <x v="4"/>
    <x v="7"/>
    <s v="Fri"/>
    <x v="33"/>
  </r>
  <r>
    <x v="208"/>
    <x v="21"/>
    <x v="27"/>
    <n v="149.46"/>
    <n v="13"/>
    <n v="1942.98"/>
    <x v="8"/>
    <x v="4"/>
    <x v="7"/>
    <s v="Fri"/>
    <x v="33"/>
  </r>
  <r>
    <x v="208"/>
    <x v="28"/>
    <x v="40"/>
    <n v="49.21"/>
    <n v="19"/>
    <n v="934.99"/>
    <x v="11"/>
    <x v="4"/>
    <x v="7"/>
    <s v="Fri"/>
    <x v="33"/>
  </r>
  <r>
    <x v="208"/>
    <x v="29"/>
    <x v="16"/>
    <n v="104.16"/>
    <n v="9"/>
    <n v="937.43999999999994"/>
    <x v="0"/>
    <x v="6"/>
    <x v="7"/>
    <s v="Fri"/>
    <x v="33"/>
  </r>
  <r>
    <x v="208"/>
    <x v="34"/>
    <x v="37"/>
    <n v="41.81"/>
    <n v="13"/>
    <n v="543.53"/>
    <x v="0"/>
    <x v="0"/>
    <x v="7"/>
    <s v="Fri"/>
    <x v="33"/>
  </r>
  <r>
    <x v="209"/>
    <x v="34"/>
    <x v="25"/>
    <n v="16.64"/>
    <n v="4"/>
    <n v="66.56"/>
    <x v="0"/>
    <x v="0"/>
    <x v="7"/>
    <s v="Sat"/>
    <x v="33"/>
  </r>
  <r>
    <x v="210"/>
    <x v="29"/>
    <x v="35"/>
    <n v="155.61000000000001"/>
    <n v="19"/>
    <n v="2956.59"/>
    <x v="0"/>
    <x v="6"/>
    <x v="7"/>
    <s v="Sun"/>
    <x v="34"/>
  </r>
  <r>
    <x v="211"/>
    <x v="15"/>
    <x v="28"/>
    <n v="82.08"/>
    <n v="11"/>
    <n v="902.88"/>
    <x v="4"/>
    <x v="4"/>
    <x v="7"/>
    <s v="Mon"/>
    <x v="34"/>
  </r>
  <r>
    <x v="211"/>
    <x v="18"/>
    <x v="10"/>
    <n v="53.11"/>
    <n v="14"/>
    <n v="743.54"/>
    <x v="0"/>
    <x v="5"/>
    <x v="7"/>
    <s v="Mon"/>
    <x v="34"/>
  </r>
  <r>
    <x v="212"/>
    <x v="18"/>
    <x v="35"/>
    <n v="155.61000000000001"/>
    <n v="5"/>
    <n v="778.05000000000007"/>
    <x v="0"/>
    <x v="5"/>
    <x v="7"/>
    <s v="Tue"/>
    <x v="34"/>
  </r>
  <r>
    <x v="213"/>
    <x v="14"/>
    <x v="38"/>
    <n v="173.88"/>
    <n v="38"/>
    <n v="6607.44"/>
    <x v="0"/>
    <x v="3"/>
    <x v="7"/>
    <s v="Wed"/>
    <x v="34"/>
  </r>
  <r>
    <x v="214"/>
    <x v="12"/>
    <x v="21"/>
    <n v="58.3"/>
    <n v="21"/>
    <n v="1224.3"/>
    <x v="4"/>
    <x v="4"/>
    <x v="7"/>
    <s v="Thu"/>
    <x v="34"/>
  </r>
  <r>
    <x v="214"/>
    <x v="13"/>
    <x v="39"/>
    <n v="42.55"/>
    <n v="4"/>
    <n v="170.2"/>
    <x v="5"/>
    <x v="4"/>
    <x v="7"/>
    <s v="Thu"/>
    <x v="34"/>
  </r>
  <r>
    <x v="214"/>
    <x v="32"/>
    <x v="30"/>
    <n v="162.54"/>
    <n v="18"/>
    <n v="2925.72"/>
    <x v="0"/>
    <x v="5"/>
    <x v="7"/>
    <s v="Thu"/>
    <x v="34"/>
  </r>
  <r>
    <x v="214"/>
    <x v="18"/>
    <x v="22"/>
    <n v="85.76"/>
    <n v="8"/>
    <n v="686.08"/>
    <x v="0"/>
    <x v="5"/>
    <x v="7"/>
    <s v="Thu"/>
    <x v="34"/>
  </r>
  <r>
    <x v="214"/>
    <x v="11"/>
    <x v="14"/>
    <n v="210"/>
    <n v="13"/>
    <n v="2730"/>
    <x v="3"/>
    <x v="4"/>
    <x v="7"/>
    <s v="Thu"/>
    <x v="34"/>
  </r>
  <r>
    <x v="214"/>
    <x v="30"/>
    <x v="41"/>
    <n v="7.8599999999999994"/>
    <n v="38"/>
    <n v="298.67999999999995"/>
    <x v="8"/>
    <x v="4"/>
    <x v="7"/>
    <s v="Thu"/>
    <x v="34"/>
  </r>
  <r>
    <x v="215"/>
    <x v="9"/>
    <x v="39"/>
    <n v="42.55"/>
    <n v="15"/>
    <n v="638.25"/>
    <x v="0"/>
    <x v="0"/>
    <x v="7"/>
    <s v="Fri"/>
    <x v="34"/>
  </r>
  <r>
    <x v="216"/>
    <x v="33"/>
    <x v="5"/>
    <n v="164.28"/>
    <n v="20"/>
    <n v="3285.6"/>
    <x v="12"/>
    <x v="4"/>
    <x v="7"/>
    <s v="Sat"/>
    <x v="34"/>
  </r>
  <r>
    <x v="216"/>
    <x v="12"/>
    <x v="35"/>
    <n v="155.61000000000001"/>
    <n v="9"/>
    <n v="1400.4900000000002"/>
    <x v="4"/>
    <x v="4"/>
    <x v="7"/>
    <s v="Sat"/>
    <x v="34"/>
  </r>
  <r>
    <x v="216"/>
    <x v="13"/>
    <x v="39"/>
    <n v="42.55"/>
    <n v="5"/>
    <n v="212.75"/>
    <x v="5"/>
    <x v="4"/>
    <x v="7"/>
    <s v="Sat"/>
    <x v="34"/>
  </r>
  <r>
    <x v="216"/>
    <x v="21"/>
    <x v="8"/>
    <n v="83.08"/>
    <n v="25"/>
    <n v="2077"/>
    <x v="8"/>
    <x v="4"/>
    <x v="7"/>
    <s v="Sat"/>
    <x v="34"/>
  </r>
  <r>
    <x v="216"/>
    <x v="20"/>
    <x v="22"/>
    <n v="85.76"/>
    <n v="22"/>
    <n v="1886.72"/>
    <x v="7"/>
    <x v="4"/>
    <x v="7"/>
    <s v="Sat"/>
    <x v="34"/>
  </r>
  <r>
    <x v="217"/>
    <x v="37"/>
    <x v="21"/>
    <n v="58.3"/>
    <n v="12"/>
    <n v="699.59999999999991"/>
    <x v="14"/>
    <x v="4"/>
    <x v="7"/>
    <s v="Sun"/>
    <x v="35"/>
  </r>
  <r>
    <x v="218"/>
    <x v="31"/>
    <x v="34"/>
    <n v="85.5"/>
    <n v="6"/>
    <n v="513"/>
    <x v="9"/>
    <x v="4"/>
    <x v="7"/>
    <s v="Mon"/>
    <x v="35"/>
  </r>
  <r>
    <x v="218"/>
    <x v="22"/>
    <x v="6"/>
    <n v="122.08"/>
    <n v="13"/>
    <n v="1587.04"/>
    <x v="9"/>
    <x v="4"/>
    <x v="7"/>
    <s v="Mon"/>
    <x v="35"/>
  </r>
  <r>
    <x v="218"/>
    <x v="7"/>
    <x v="17"/>
    <n v="8.33"/>
    <n v="5"/>
    <n v="41.65"/>
    <x v="1"/>
    <x v="4"/>
    <x v="7"/>
    <s v="Mon"/>
    <x v="35"/>
  </r>
  <r>
    <x v="218"/>
    <x v="30"/>
    <x v="8"/>
    <n v="83.08"/>
    <n v="6"/>
    <n v="498.48"/>
    <x v="8"/>
    <x v="4"/>
    <x v="7"/>
    <s v="Mon"/>
    <x v="35"/>
  </r>
  <r>
    <x v="219"/>
    <x v="36"/>
    <x v="31"/>
    <n v="103.88"/>
    <n v="2"/>
    <n v="207.76"/>
    <x v="0"/>
    <x v="1"/>
    <x v="7"/>
    <s v="Tue"/>
    <x v="35"/>
  </r>
  <r>
    <x v="219"/>
    <x v="36"/>
    <x v="4"/>
    <n v="15.719999999999999"/>
    <n v="13"/>
    <n v="204.35999999999999"/>
    <x v="0"/>
    <x v="1"/>
    <x v="7"/>
    <s v="Tue"/>
    <x v="35"/>
  </r>
  <r>
    <x v="219"/>
    <x v="17"/>
    <x v="12"/>
    <n v="6.7"/>
    <n v="11"/>
    <n v="73.7"/>
    <x v="5"/>
    <x v="4"/>
    <x v="7"/>
    <s v="Tue"/>
    <x v="35"/>
  </r>
  <r>
    <x v="219"/>
    <x v="14"/>
    <x v="30"/>
    <n v="162.54"/>
    <n v="6"/>
    <n v="975.24"/>
    <x v="0"/>
    <x v="3"/>
    <x v="7"/>
    <s v="Tue"/>
    <x v="35"/>
  </r>
  <r>
    <x v="220"/>
    <x v="4"/>
    <x v="19"/>
    <n v="80.94"/>
    <n v="14"/>
    <n v="1133.1599999999999"/>
    <x v="0"/>
    <x v="3"/>
    <x v="8"/>
    <s v="Wed"/>
    <x v="35"/>
  </r>
  <r>
    <x v="220"/>
    <x v="22"/>
    <x v="0"/>
    <n v="156.96"/>
    <n v="1"/>
    <n v="156.96"/>
    <x v="9"/>
    <x v="4"/>
    <x v="8"/>
    <s v="Wed"/>
    <x v="35"/>
  </r>
  <r>
    <x v="220"/>
    <x v="11"/>
    <x v="4"/>
    <n v="15.719999999999999"/>
    <n v="11"/>
    <n v="172.92"/>
    <x v="3"/>
    <x v="4"/>
    <x v="8"/>
    <s v="Wed"/>
    <x v="35"/>
  </r>
  <r>
    <x v="221"/>
    <x v="14"/>
    <x v="38"/>
    <n v="173.88"/>
    <n v="8"/>
    <n v="1391.04"/>
    <x v="0"/>
    <x v="3"/>
    <x v="8"/>
    <s v="Fri"/>
    <x v="35"/>
  </r>
  <r>
    <x v="221"/>
    <x v="1"/>
    <x v="25"/>
    <n v="16.64"/>
    <n v="28"/>
    <n v="465.92"/>
    <x v="0"/>
    <x v="1"/>
    <x v="8"/>
    <s v="Fri"/>
    <x v="35"/>
  </r>
  <r>
    <x v="222"/>
    <x v="18"/>
    <x v="12"/>
    <n v="6.7"/>
    <n v="1"/>
    <n v="6.7"/>
    <x v="0"/>
    <x v="5"/>
    <x v="8"/>
    <s v="Sat"/>
    <x v="35"/>
  </r>
  <r>
    <x v="222"/>
    <x v="29"/>
    <x v="27"/>
    <n v="149.46"/>
    <n v="15"/>
    <n v="2241.9"/>
    <x v="0"/>
    <x v="6"/>
    <x v="8"/>
    <s v="Sat"/>
    <x v="35"/>
  </r>
  <r>
    <x v="222"/>
    <x v="26"/>
    <x v="37"/>
    <n v="41.81"/>
    <n v="7"/>
    <n v="292.67"/>
    <x v="10"/>
    <x v="4"/>
    <x v="8"/>
    <s v="Sat"/>
    <x v="35"/>
  </r>
  <r>
    <x v="222"/>
    <x v="26"/>
    <x v="31"/>
    <n v="103.88"/>
    <n v="34"/>
    <n v="3531.92"/>
    <x v="10"/>
    <x v="4"/>
    <x v="8"/>
    <s v="Sat"/>
    <x v="35"/>
  </r>
  <r>
    <x v="222"/>
    <x v="26"/>
    <x v="20"/>
    <n v="142.80000000000001"/>
    <n v="1"/>
    <n v="142.80000000000001"/>
    <x v="10"/>
    <x v="4"/>
    <x v="8"/>
    <s v="Sat"/>
    <x v="35"/>
  </r>
  <r>
    <x v="223"/>
    <x v="4"/>
    <x v="13"/>
    <n v="117.48"/>
    <n v="1"/>
    <n v="117.48"/>
    <x v="0"/>
    <x v="3"/>
    <x v="8"/>
    <s v="Sun"/>
    <x v="36"/>
  </r>
  <r>
    <x v="223"/>
    <x v="39"/>
    <x v="15"/>
    <n v="47.730000000000004"/>
    <n v="35"/>
    <n v="1670.5500000000002"/>
    <x v="3"/>
    <x v="4"/>
    <x v="8"/>
    <s v="Sun"/>
    <x v="36"/>
  </r>
  <r>
    <x v="224"/>
    <x v="28"/>
    <x v="16"/>
    <n v="104.16"/>
    <n v="20"/>
    <n v="2083.1999999999998"/>
    <x v="11"/>
    <x v="4"/>
    <x v="8"/>
    <s v="Mon"/>
    <x v="36"/>
  </r>
  <r>
    <x v="224"/>
    <x v="9"/>
    <x v="35"/>
    <n v="155.61000000000001"/>
    <n v="12"/>
    <n v="1867.3200000000002"/>
    <x v="0"/>
    <x v="0"/>
    <x v="8"/>
    <s v="Mon"/>
    <x v="36"/>
  </r>
  <r>
    <x v="225"/>
    <x v="16"/>
    <x v="14"/>
    <n v="210"/>
    <n v="5"/>
    <n v="1050"/>
    <x v="6"/>
    <x v="4"/>
    <x v="8"/>
    <s v="Tue"/>
    <x v="36"/>
  </r>
  <r>
    <x v="226"/>
    <x v="29"/>
    <x v="11"/>
    <n v="94.17"/>
    <n v="23"/>
    <n v="2165.91"/>
    <x v="0"/>
    <x v="6"/>
    <x v="8"/>
    <s v="Wed"/>
    <x v="36"/>
  </r>
  <r>
    <x v="227"/>
    <x v="18"/>
    <x v="19"/>
    <n v="80.94"/>
    <n v="3"/>
    <n v="242.82"/>
    <x v="0"/>
    <x v="5"/>
    <x v="8"/>
    <s v="Thu"/>
    <x v="36"/>
  </r>
  <r>
    <x v="227"/>
    <x v="10"/>
    <x v="38"/>
    <n v="173.88"/>
    <n v="9"/>
    <n v="1564.92"/>
    <x v="2"/>
    <x v="4"/>
    <x v="8"/>
    <s v="Thu"/>
    <x v="36"/>
  </r>
  <r>
    <x v="227"/>
    <x v="14"/>
    <x v="28"/>
    <n v="82.08"/>
    <n v="4"/>
    <n v="328.32"/>
    <x v="0"/>
    <x v="3"/>
    <x v="8"/>
    <s v="Thu"/>
    <x v="36"/>
  </r>
  <r>
    <x v="227"/>
    <x v="1"/>
    <x v="23"/>
    <n v="48.4"/>
    <n v="26"/>
    <n v="1258.3999999999999"/>
    <x v="0"/>
    <x v="1"/>
    <x v="8"/>
    <s v="Thu"/>
    <x v="36"/>
  </r>
  <r>
    <x v="228"/>
    <x v="15"/>
    <x v="2"/>
    <n v="79.92"/>
    <n v="4"/>
    <n v="319.68"/>
    <x v="4"/>
    <x v="4"/>
    <x v="8"/>
    <s v="Fri"/>
    <x v="36"/>
  </r>
  <r>
    <x v="228"/>
    <x v="20"/>
    <x v="31"/>
    <n v="103.88"/>
    <n v="9"/>
    <n v="934.92"/>
    <x v="7"/>
    <x v="4"/>
    <x v="8"/>
    <s v="Fri"/>
    <x v="36"/>
  </r>
  <r>
    <x v="228"/>
    <x v="34"/>
    <x v="32"/>
    <n v="201.28"/>
    <n v="6"/>
    <n v="1207.68"/>
    <x v="0"/>
    <x v="0"/>
    <x v="8"/>
    <s v="Fri"/>
    <x v="36"/>
  </r>
  <r>
    <x v="228"/>
    <x v="34"/>
    <x v="42"/>
    <n v="24.66"/>
    <n v="2"/>
    <n v="49.32"/>
    <x v="0"/>
    <x v="0"/>
    <x v="8"/>
    <s v="Fri"/>
    <x v="36"/>
  </r>
  <r>
    <x v="228"/>
    <x v="39"/>
    <x v="12"/>
    <n v="6.7"/>
    <n v="15"/>
    <n v="100.5"/>
    <x v="3"/>
    <x v="4"/>
    <x v="8"/>
    <s v="Fri"/>
    <x v="36"/>
  </r>
  <r>
    <x v="229"/>
    <x v="36"/>
    <x v="31"/>
    <n v="103.88"/>
    <n v="6"/>
    <n v="623.28"/>
    <x v="0"/>
    <x v="1"/>
    <x v="8"/>
    <s v="Sat"/>
    <x v="36"/>
  </r>
  <r>
    <x v="230"/>
    <x v="7"/>
    <x v="38"/>
    <n v="173.88"/>
    <n v="7"/>
    <n v="1217.1599999999999"/>
    <x v="1"/>
    <x v="4"/>
    <x v="8"/>
    <s v="Mon"/>
    <x v="37"/>
  </r>
  <r>
    <x v="231"/>
    <x v="36"/>
    <x v="10"/>
    <n v="53.11"/>
    <n v="3"/>
    <n v="159.32999999999998"/>
    <x v="0"/>
    <x v="1"/>
    <x v="8"/>
    <s v="Tue"/>
    <x v="37"/>
  </r>
  <r>
    <x v="231"/>
    <x v="29"/>
    <x v="42"/>
    <n v="24.66"/>
    <n v="34"/>
    <n v="838.44"/>
    <x v="0"/>
    <x v="6"/>
    <x v="8"/>
    <s v="Tue"/>
    <x v="37"/>
  </r>
  <r>
    <x v="231"/>
    <x v="14"/>
    <x v="23"/>
    <n v="48.4"/>
    <n v="27"/>
    <n v="1306.8"/>
    <x v="0"/>
    <x v="3"/>
    <x v="8"/>
    <s v="Tue"/>
    <x v="37"/>
  </r>
  <r>
    <x v="232"/>
    <x v="31"/>
    <x v="2"/>
    <n v="79.92"/>
    <n v="3"/>
    <n v="239.76"/>
    <x v="9"/>
    <x v="4"/>
    <x v="8"/>
    <s v="Wed"/>
    <x v="37"/>
  </r>
  <r>
    <x v="232"/>
    <x v="24"/>
    <x v="24"/>
    <n v="162"/>
    <n v="14"/>
    <n v="2268"/>
    <x v="2"/>
    <x v="4"/>
    <x v="8"/>
    <s v="Wed"/>
    <x v="37"/>
  </r>
  <r>
    <x v="232"/>
    <x v="36"/>
    <x v="24"/>
    <n v="162"/>
    <n v="6"/>
    <n v="972"/>
    <x v="0"/>
    <x v="1"/>
    <x v="8"/>
    <s v="Wed"/>
    <x v="37"/>
  </r>
  <r>
    <x v="232"/>
    <x v="22"/>
    <x v="22"/>
    <n v="85.76"/>
    <n v="15"/>
    <n v="1286.4000000000001"/>
    <x v="9"/>
    <x v="4"/>
    <x v="8"/>
    <s v="Wed"/>
    <x v="37"/>
  </r>
  <r>
    <x v="233"/>
    <x v="21"/>
    <x v="40"/>
    <n v="49.21"/>
    <n v="11"/>
    <n v="541.31000000000006"/>
    <x v="8"/>
    <x v="4"/>
    <x v="8"/>
    <s v="Thu"/>
    <x v="37"/>
  </r>
  <r>
    <x v="234"/>
    <x v="21"/>
    <x v="5"/>
    <n v="164.28"/>
    <n v="12"/>
    <n v="1971.3600000000001"/>
    <x v="8"/>
    <x v="4"/>
    <x v="8"/>
    <s v="Fri"/>
    <x v="37"/>
  </r>
  <r>
    <x v="235"/>
    <x v="13"/>
    <x v="16"/>
    <n v="104.16"/>
    <n v="22"/>
    <n v="2291.52"/>
    <x v="5"/>
    <x v="4"/>
    <x v="8"/>
    <s v="Sat"/>
    <x v="37"/>
  </r>
  <r>
    <x v="235"/>
    <x v="29"/>
    <x v="42"/>
    <n v="24.66"/>
    <n v="14"/>
    <n v="345.24"/>
    <x v="0"/>
    <x v="6"/>
    <x v="8"/>
    <s v="Sat"/>
    <x v="37"/>
  </r>
  <r>
    <x v="236"/>
    <x v="17"/>
    <x v="3"/>
    <n v="119.7"/>
    <n v="8"/>
    <n v="957.6"/>
    <x v="5"/>
    <x v="4"/>
    <x v="8"/>
    <s v="Sun"/>
    <x v="38"/>
  </r>
  <r>
    <x v="237"/>
    <x v="33"/>
    <x v="3"/>
    <n v="119.7"/>
    <n v="6"/>
    <n v="718.2"/>
    <x v="12"/>
    <x v="4"/>
    <x v="8"/>
    <s v="Mon"/>
    <x v="38"/>
  </r>
  <r>
    <x v="237"/>
    <x v="32"/>
    <x v="12"/>
    <n v="6.7"/>
    <n v="32"/>
    <n v="214.4"/>
    <x v="0"/>
    <x v="5"/>
    <x v="8"/>
    <s v="Mon"/>
    <x v="38"/>
  </r>
  <r>
    <x v="237"/>
    <x v="14"/>
    <x v="31"/>
    <n v="103.88"/>
    <n v="10"/>
    <n v="1038.8"/>
    <x v="0"/>
    <x v="3"/>
    <x v="8"/>
    <s v="Mon"/>
    <x v="38"/>
  </r>
  <r>
    <x v="238"/>
    <x v="13"/>
    <x v="43"/>
    <n v="96.3"/>
    <n v="35"/>
    <n v="3370.5"/>
    <x v="5"/>
    <x v="4"/>
    <x v="8"/>
    <s v="Tue"/>
    <x v="38"/>
  </r>
  <r>
    <x v="238"/>
    <x v="23"/>
    <x v="20"/>
    <n v="142.80000000000001"/>
    <n v="32"/>
    <n v="4569.6000000000004"/>
    <x v="0"/>
    <x v="6"/>
    <x v="8"/>
    <s v="Tue"/>
    <x v="38"/>
  </r>
  <r>
    <x v="238"/>
    <x v="18"/>
    <x v="29"/>
    <n v="76.25"/>
    <n v="7"/>
    <n v="533.75"/>
    <x v="0"/>
    <x v="5"/>
    <x v="8"/>
    <s v="Tue"/>
    <x v="38"/>
  </r>
  <r>
    <x v="238"/>
    <x v="20"/>
    <x v="42"/>
    <n v="24.66"/>
    <n v="5"/>
    <n v="123.3"/>
    <x v="7"/>
    <x v="4"/>
    <x v="8"/>
    <s v="Tue"/>
    <x v="38"/>
  </r>
  <r>
    <x v="238"/>
    <x v="1"/>
    <x v="40"/>
    <n v="49.21"/>
    <n v="14"/>
    <n v="688.94"/>
    <x v="0"/>
    <x v="1"/>
    <x v="8"/>
    <s v="Tue"/>
    <x v="38"/>
  </r>
  <r>
    <x v="239"/>
    <x v="4"/>
    <x v="30"/>
    <n v="162.54"/>
    <n v="21"/>
    <n v="3413.3399999999997"/>
    <x v="0"/>
    <x v="3"/>
    <x v="8"/>
    <s v="Wed"/>
    <x v="38"/>
  </r>
  <r>
    <x v="239"/>
    <x v="10"/>
    <x v="9"/>
    <n v="48.84"/>
    <n v="14"/>
    <n v="683.76"/>
    <x v="2"/>
    <x v="4"/>
    <x v="8"/>
    <s v="Wed"/>
    <x v="38"/>
  </r>
  <r>
    <x v="239"/>
    <x v="11"/>
    <x v="20"/>
    <n v="142.80000000000001"/>
    <n v="4"/>
    <n v="571.20000000000005"/>
    <x v="3"/>
    <x v="4"/>
    <x v="8"/>
    <s v="Wed"/>
    <x v="38"/>
  </r>
  <r>
    <x v="239"/>
    <x v="39"/>
    <x v="18"/>
    <n v="115.2"/>
    <n v="2"/>
    <n v="230.4"/>
    <x v="3"/>
    <x v="4"/>
    <x v="8"/>
    <s v="Wed"/>
    <x v="38"/>
  </r>
  <r>
    <x v="239"/>
    <x v="39"/>
    <x v="8"/>
    <n v="83.08"/>
    <n v="12"/>
    <n v="996.96"/>
    <x v="3"/>
    <x v="4"/>
    <x v="8"/>
    <s v="Wed"/>
    <x v="38"/>
  </r>
  <r>
    <x v="240"/>
    <x v="32"/>
    <x v="11"/>
    <n v="94.17"/>
    <n v="12"/>
    <n v="1130.04"/>
    <x v="0"/>
    <x v="5"/>
    <x v="8"/>
    <s v="Thu"/>
    <x v="38"/>
  </r>
  <r>
    <x v="240"/>
    <x v="34"/>
    <x v="30"/>
    <n v="162.54"/>
    <n v="7"/>
    <n v="1137.78"/>
    <x v="0"/>
    <x v="0"/>
    <x v="8"/>
    <s v="Thu"/>
    <x v="38"/>
  </r>
  <r>
    <x v="240"/>
    <x v="14"/>
    <x v="40"/>
    <n v="49.21"/>
    <n v="12"/>
    <n v="590.52"/>
    <x v="0"/>
    <x v="3"/>
    <x v="8"/>
    <s v="Thu"/>
    <x v="38"/>
  </r>
  <r>
    <x v="241"/>
    <x v="15"/>
    <x v="13"/>
    <n v="117.48"/>
    <n v="34"/>
    <n v="3994.32"/>
    <x v="4"/>
    <x v="4"/>
    <x v="8"/>
    <s v="Fri"/>
    <x v="38"/>
  </r>
  <r>
    <x v="241"/>
    <x v="36"/>
    <x v="13"/>
    <n v="117.48"/>
    <n v="8"/>
    <n v="939.84"/>
    <x v="0"/>
    <x v="1"/>
    <x v="8"/>
    <s v="Fri"/>
    <x v="38"/>
  </r>
  <r>
    <x v="241"/>
    <x v="23"/>
    <x v="13"/>
    <n v="117.48"/>
    <n v="14"/>
    <n v="1644.72"/>
    <x v="0"/>
    <x v="6"/>
    <x v="8"/>
    <s v="Fri"/>
    <x v="38"/>
  </r>
  <r>
    <x v="242"/>
    <x v="32"/>
    <x v="19"/>
    <n v="80.94"/>
    <n v="31"/>
    <n v="2509.14"/>
    <x v="0"/>
    <x v="5"/>
    <x v="8"/>
    <s v="Sat"/>
    <x v="38"/>
  </r>
  <r>
    <x v="243"/>
    <x v="31"/>
    <x v="21"/>
    <n v="58.3"/>
    <n v="1"/>
    <n v="58.3"/>
    <x v="9"/>
    <x v="4"/>
    <x v="8"/>
    <s v="Mon"/>
    <x v="39"/>
  </r>
  <r>
    <x v="243"/>
    <x v="4"/>
    <x v="35"/>
    <n v="155.61000000000001"/>
    <n v="11"/>
    <n v="1711.71"/>
    <x v="0"/>
    <x v="3"/>
    <x v="8"/>
    <s v="Mon"/>
    <x v="39"/>
  </r>
  <r>
    <x v="243"/>
    <x v="22"/>
    <x v="43"/>
    <n v="96.3"/>
    <n v="4"/>
    <n v="385.2"/>
    <x v="9"/>
    <x v="4"/>
    <x v="8"/>
    <s v="Mon"/>
    <x v="39"/>
  </r>
  <r>
    <x v="243"/>
    <x v="9"/>
    <x v="2"/>
    <n v="79.92"/>
    <n v="3"/>
    <n v="239.76"/>
    <x v="0"/>
    <x v="0"/>
    <x v="8"/>
    <s v="Mon"/>
    <x v="39"/>
  </r>
  <r>
    <x v="243"/>
    <x v="34"/>
    <x v="38"/>
    <n v="173.88"/>
    <n v="23"/>
    <n v="3999.24"/>
    <x v="0"/>
    <x v="0"/>
    <x v="8"/>
    <s v="Mon"/>
    <x v="39"/>
  </r>
  <r>
    <x v="243"/>
    <x v="39"/>
    <x v="28"/>
    <n v="82.08"/>
    <n v="9"/>
    <n v="738.72"/>
    <x v="3"/>
    <x v="4"/>
    <x v="8"/>
    <s v="Mon"/>
    <x v="39"/>
  </r>
  <r>
    <x v="244"/>
    <x v="26"/>
    <x v="21"/>
    <n v="58.3"/>
    <n v="13"/>
    <n v="757.9"/>
    <x v="10"/>
    <x v="4"/>
    <x v="8"/>
    <s v="Wed"/>
    <x v="39"/>
  </r>
  <r>
    <x v="245"/>
    <x v="16"/>
    <x v="7"/>
    <n v="146.72"/>
    <n v="9"/>
    <n v="1320.48"/>
    <x v="6"/>
    <x v="4"/>
    <x v="8"/>
    <s v="Thu"/>
    <x v="39"/>
  </r>
  <r>
    <x v="245"/>
    <x v="11"/>
    <x v="34"/>
    <n v="85.5"/>
    <n v="5"/>
    <n v="427.5"/>
    <x v="3"/>
    <x v="4"/>
    <x v="8"/>
    <s v="Thu"/>
    <x v="39"/>
  </r>
  <r>
    <x v="246"/>
    <x v="1"/>
    <x v="32"/>
    <n v="201.28"/>
    <n v="14"/>
    <n v="2817.92"/>
    <x v="0"/>
    <x v="1"/>
    <x v="9"/>
    <s v="Fri"/>
    <x v="39"/>
  </r>
  <r>
    <x v="247"/>
    <x v="24"/>
    <x v="7"/>
    <n v="146.72"/>
    <n v="15"/>
    <n v="2200.8000000000002"/>
    <x v="2"/>
    <x v="4"/>
    <x v="9"/>
    <s v="Sat"/>
    <x v="39"/>
  </r>
  <r>
    <x v="247"/>
    <x v="21"/>
    <x v="20"/>
    <n v="142.80000000000001"/>
    <n v="22"/>
    <n v="3141.6000000000004"/>
    <x v="8"/>
    <x v="4"/>
    <x v="9"/>
    <s v="Sat"/>
    <x v="39"/>
  </r>
  <r>
    <x v="248"/>
    <x v="12"/>
    <x v="14"/>
    <n v="210"/>
    <n v="9"/>
    <n v="1890"/>
    <x v="4"/>
    <x v="4"/>
    <x v="9"/>
    <s v="Sun"/>
    <x v="40"/>
  </r>
  <r>
    <x v="248"/>
    <x v="15"/>
    <x v="38"/>
    <n v="173.88"/>
    <n v="23"/>
    <n v="3999.24"/>
    <x v="4"/>
    <x v="4"/>
    <x v="9"/>
    <s v="Sun"/>
    <x v="40"/>
  </r>
  <r>
    <x v="248"/>
    <x v="23"/>
    <x v="23"/>
    <n v="48.4"/>
    <n v="5"/>
    <n v="242"/>
    <x v="0"/>
    <x v="6"/>
    <x v="9"/>
    <s v="Sun"/>
    <x v="40"/>
  </r>
  <r>
    <x v="249"/>
    <x v="29"/>
    <x v="15"/>
    <n v="47.730000000000004"/>
    <n v="15"/>
    <n v="715.95"/>
    <x v="0"/>
    <x v="6"/>
    <x v="9"/>
    <s v="Mon"/>
    <x v="40"/>
  </r>
  <r>
    <x v="250"/>
    <x v="34"/>
    <x v="0"/>
    <n v="156.96"/>
    <n v="36"/>
    <n v="5650.56"/>
    <x v="0"/>
    <x v="0"/>
    <x v="9"/>
    <s v="Tue"/>
    <x v="40"/>
  </r>
  <r>
    <x v="250"/>
    <x v="14"/>
    <x v="0"/>
    <n v="156.96"/>
    <n v="23"/>
    <n v="3610.0800000000004"/>
    <x v="0"/>
    <x v="3"/>
    <x v="9"/>
    <s v="Tue"/>
    <x v="40"/>
  </r>
  <r>
    <x v="251"/>
    <x v="31"/>
    <x v="12"/>
    <n v="6.7"/>
    <n v="1"/>
    <n v="6.7"/>
    <x v="9"/>
    <x v="4"/>
    <x v="9"/>
    <s v="Wed"/>
    <x v="40"/>
  </r>
  <r>
    <x v="251"/>
    <x v="21"/>
    <x v="26"/>
    <n v="94.62"/>
    <n v="23"/>
    <n v="2176.2600000000002"/>
    <x v="8"/>
    <x v="4"/>
    <x v="9"/>
    <s v="Wed"/>
    <x v="40"/>
  </r>
  <r>
    <x v="251"/>
    <x v="32"/>
    <x v="8"/>
    <n v="83.08"/>
    <n v="17"/>
    <n v="1412.36"/>
    <x v="0"/>
    <x v="5"/>
    <x v="9"/>
    <s v="Wed"/>
    <x v="40"/>
  </r>
  <r>
    <x v="251"/>
    <x v="28"/>
    <x v="30"/>
    <n v="162.54"/>
    <n v="10"/>
    <n v="1625.3999999999999"/>
    <x v="11"/>
    <x v="4"/>
    <x v="9"/>
    <s v="Wed"/>
    <x v="40"/>
  </r>
  <r>
    <x v="251"/>
    <x v="9"/>
    <x v="43"/>
    <n v="96.3"/>
    <n v="12"/>
    <n v="1155.5999999999999"/>
    <x v="0"/>
    <x v="0"/>
    <x v="9"/>
    <s v="Wed"/>
    <x v="40"/>
  </r>
  <r>
    <x v="251"/>
    <x v="39"/>
    <x v="12"/>
    <n v="6.7"/>
    <n v="1"/>
    <n v="6.7"/>
    <x v="3"/>
    <x v="4"/>
    <x v="9"/>
    <s v="Wed"/>
    <x v="40"/>
  </r>
  <r>
    <x v="252"/>
    <x v="28"/>
    <x v="42"/>
    <n v="24.66"/>
    <n v="6"/>
    <n v="147.96"/>
    <x v="11"/>
    <x v="4"/>
    <x v="9"/>
    <s v="Thu"/>
    <x v="40"/>
  </r>
  <r>
    <x v="253"/>
    <x v="16"/>
    <x v="2"/>
    <n v="79.92"/>
    <n v="14"/>
    <n v="1118.8800000000001"/>
    <x v="6"/>
    <x v="4"/>
    <x v="9"/>
    <s v="Sat"/>
    <x v="40"/>
  </r>
  <r>
    <x v="253"/>
    <x v="33"/>
    <x v="2"/>
    <n v="79.92"/>
    <n v="5"/>
    <n v="399.6"/>
    <x v="12"/>
    <x v="4"/>
    <x v="9"/>
    <s v="Sat"/>
    <x v="40"/>
  </r>
  <r>
    <x v="253"/>
    <x v="23"/>
    <x v="13"/>
    <n v="117.48"/>
    <n v="11"/>
    <n v="1292.28"/>
    <x v="0"/>
    <x v="6"/>
    <x v="9"/>
    <s v="Sat"/>
    <x v="40"/>
  </r>
  <r>
    <x v="254"/>
    <x v="31"/>
    <x v="12"/>
    <n v="6.7"/>
    <n v="14"/>
    <n v="93.8"/>
    <x v="9"/>
    <x v="4"/>
    <x v="9"/>
    <s v="Sun"/>
    <x v="41"/>
  </r>
  <r>
    <x v="254"/>
    <x v="31"/>
    <x v="14"/>
    <n v="210"/>
    <n v="9"/>
    <n v="1890"/>
    <x v="9"/>
    <x v="4"/>
    <x v="9"/>
    <s v="Sun"/>
    <x v="41"/>
  </r>
  <r>
    <x v="254"/>
    <x v="28"/>
    <x v="28"/>
    <n v="82.08"/>
    <n v="12"/>
    <n v="984.96"/>
    <x v="11"/>
    <x v="4"/>
    <x v="9"/>
    <s v="Sun"/>
    <x v="41"/>
  </r>
  <r>
    <x v="255"/>
    <x v="34"/>
    <x v="26"/>
    <n v="94.62"/>
    <n v="10"/>
    <n v="946.2"/>
    <x v="0"/>
    <x v="0"/>
    <x v="9"/>
    <s v="Mon"/>
    <x v="41"/>
  </r>
  <r>
    <x v="255"/>
    <x v="26"/>
    <x v="23"/>
    <n v="48.4"/>
    <n v="15"/>
    <n v="726"/>
    <x v="10"/>
    <x v="4"/>
    <x v="9"/>
    <s v="Mon"/>
    <x v="41"/>
  </r>
  <r>
    <x v="256"/>
    <x v="17"/>
    <x v="36"/>
    <n v="57.120000000000005"/>
    <n v="8"/>
    <n v="456.96000000000004"/>
    <x v="5"/>
    <x v="4"/>
    <x v="9"/>
    <s v="Tue"/>
    <x v="41"/>
  </r>
  <r>
    <x v="257"/>
    <x v="33"/>
    <x v="20"/>
    <n v="142.80000000000001"/>
    <n v="15"/>
    <n v="2142"/>
    <x v="12"/>
    <x v="4"/>
    <x v="9"/>
    <s v="Wed"/>
    <x v="41"/>
  </r>
  <r>
    <x v="257"/>
    <x v="9"/>
    <x v="2"/>
    <n v="79.92"/>
    <n v="18"/>
    <n v="1438.56"/>
    <x v="0"/>
    <x v="0"/>
    <x v="9"/>
    <s v="Wed"/>
    <x v="41"/>
  </r>
  <r>
    <x v="258"/>
    <x v="37"/>
    <x v="28"/>
    <n v="82.08"/>
    <n v="15"/>
    <n v="1231.2"/>
    <x v="14"/>
    <x v="4"/>
    <x v="9"/>
    <s v="Thu"/>
    <x v="41"/>
  </r>
  <r>
    <x v="259"/>
    <x v="36"/>
    <x v="4"/>
    <n v="15.719999999999999"/>
    <n v="10"/>
    <n v="157.19999999999999"/>
    <x v="0"/>
    <x v="1"/>
    <x v="9"/>
    <s v="Fri"/>
    <x v="41"/>
  </r>
  <r>
    <x v="260"/>
    <x v="20"/>
    <x v="43"/>
    <n v="96.3"/>
    <n v="3"/>
    <n v="288.89999999999998"/>
    <x v="7"/>
    <x v="4"/>
    <x v="9"/>
    <s v="Sat"/>
    <x v="41"/>
  </r>
  <r>
    <x v="260"/>
    <x v="26"/>
    <x v="0"/>
    <n v="156.96"/>
    <n v="18"/>
    <n v="2825.28"/>
    <x v="10"/>
    <x v="4"/>
    <x v="9"/>
    <s v="Sat"/>
    <x v="41"/>
  </r>
  <r>
    <x v="260"/>
    <x v="14"/>
    <x v="28"/>
    <n v="82.08"/>
    <n v="18"/>
    <n v="1477.44"/>
    <x v="0"/>
    <x v="3"/>
    <x v="9"/>
    <s v="Sat"/>
    <x v="41"/>
  </r>
  <r>
    <x v="261"/>
    <x v="26"/>
    <x v="31"/>
    <n v="103.88"/>
    <n v="13"/>
    <n v="1350.44"/>
    <x v="10"/>
    <x v="4"/>
    <x v="9"/>
    <s v="Sun"/>
    <x v="42"/>
  </r>
  <r>
    <x v="262"/>
    <x v="16"/>
    <x v="24"/>
    <n v="162"/>
    <n v="31"/>
    <n v="5022"/>
    <x v="6"/>
    <x v="4"/>
    <x v="9"/>
    <s v="Mon"/>
    <x v="42"/>
  </r>
  <r>
    <x v="262"/>
    <x v="12"/>
    <x v="26"/>
    <n v="94.62"/>
    <n v="11"/>
    <n v="1040.8200000000002"/>
    <x v="4"/>
    <x v="4"/>
    <x v="9"/>
    <s v="Mon"/>
    <x v="42"/>
  </r>
  <r>
    <x v="262"/>
    <x v="13"/>
    <x v="19"/>
    <n v="80.94"/>
    <n v="6"/>
    <n v="485.64"/>
    <x v="5"/>
    <x v="4"/>
    <x v="9"/>
    <s v="Mon"/>
    <x v="42"/>
  </r>
  <r>
    <x v="262"/>
    <x v="0"/>
    <x v="17"/>
    <n v="8.33"/>
    <n v="16"/>
    <n v="133.28"/>
    <x v="0"/>
    <x v="0"/>
    <x v="9"/>
    <s v="Mon"/>
    <x v="42"/>
  </r>
  <r>
    <x v="262"/>
    <x v="34"/>
    <x v="17"/>
    <n v="8.33"/>
    <n v="6"/>
    <n v="49.980000000000004"/>
    <x v="0"/>
    <x v="0"/>
    <x v="9"/>
    <s v="Mon"/>
    <x v="42"/>
  </r>
  <r>
    <x v="262"/>
    <x v="34"/>
    <x v="30"/>
    <n v="162.54"/>
    <n v="13"/>
    <n v="2113.02"/>
    <x v="0"/>
    <x v="0"/>
    <x v="9"/>
    <s v="Mon"/>
    <x v="42"/>
  </r>
  <r>
    <x v="263"/>
    <x v="31"/>
    <x v="23"/>
    <n v="48.4"/>
    <n v="7"/>
    <n v="338.8"/>
    <x v="9"/>
    <x v="4"/>
    <x v="9"/>
    <s v="Fri"/>
    <x v="42"/>
  </r>
  <r>
    <x v="263"/>
    <x v="15"/>
    <x v="41"/>
    <n v="7.8599999999999994"/>
    <n v="1"/>
    <n v="7.8599999999999994"/>
    <x v="4"/>
    <x v="4"/>
    <x v="9"/>
    <s v="Fri"/>
    <x v="42"/>
  </r>
  <r>
    <x v="263"/>
    <x v="24"/>
    <x v="0"/>
    <n v="156.96"/>
    <n v="13"/>
    <n v="2040.48"/>
    <x v="2"/>
    <x v="4"/>
    <x v="9"/>
    <s v="Fri"/>
    <x v="42"/>
  </r>
  <r>
    <x v="263"/>
    <x v="21"/>
    <x v="13"/>
    <n v="117.48"/>
    <n v="34"/>
    <n v="3994.32"/>
    <x v="8"/>
    <x v="4"/>
    <x v="9"/>
    <s v="Fri"/>
    <x v="42"/>
  </r>
  <r>
    <x v="263"/>
    <x v="22"/>
    <x v="39"/>
    <n v="42.55"/>
    <n v="24"/>
    <n v="1021.1999999999999"/>
    <x v="9"/>
    <x v="4"/>
    <x v="9"/>
    <s v="Fri"/>
    <x v="42"/>
  </r>
  <r>
    <x v="264"/>
    <x v="29"/>
    <x v="0"/>
    <n v="156.96"/>
    <n v="14"/>
    <n v="2197.44"/>
    <x v="0"/>
    <x v="6"/>
    <x v="9"/>
    <s v="Sat"/>
    <x v="42"/>
  </r>
  <r>
    <x v="265"/>
    <x v="0"/>
    <x v="43"/>
    <n v="96.3"/>
    <n v="22"/>
    <n v="2118.6"/>
    <x v="0"/>
    <x v="0"/>
    <x v="9"/>
    <s v="Sun"/>
    <x v="43"/>
  </r>
  <r>
    <x v="265"/>
    <x v="34"/>
    <x v="23"/>
    <n v="48.4"/>
    <n v="3"/>
    <n v="145.19999999999999"/>
    <x v="0"/>
    <x v="0"/>
    <x v="9"/>
    <s v="Sun"/>
    <x v="43"/>
  </r>
  <r>
    <x v="265"/>
    <x v="34"/>
    <x v="17"/>
    <n v="8.33"/>
    <n v="21"/>
    <n v="174.93"/>
    <x v="0"/>
    <x v="0"/>
    <x v="9"/>
    <s v="Sun"/>
    <x v="43"/>
  </r>
  <r>
    <x v="265"/>
    <x v="39"/>
    <x v="3"/>
    <n v="119.7"/>
    <n v="4"/>
    <n v="478.8"/>
    <x v="3"/>
    <x v="4"/>
    <x v="9"/>
    <s v="Sun"/>
    <x v="43"/>
  </r>
  <r>
    <x v="266"/>
    <x v="28"/>
    <x v="28"/>
    <n v="82.08"/>
    <n v="9"/>
    <n v="738.72"/>
    <x v="11"/>
    <x v="4"/>
    <x v="9"/>
    <s v="Mon"/>
    <x v="43"/>
  </r>
  <r>
    <x v="266"/>
    <x v="29"/>
    <x v="31"/>
    <n v="103.88"/>
    <n v="18"/>
    <n v="1869.84"/>
    <x v="0"/>
    <x v="6"/>
    <x v="9"/>
    <s v="Mon"/>
    <x v="43"/>
  </r>
  <r>
    <x v="267"/>
    <x v="37"/>
    <x v="9"/>
    <n v="48.84"/>
    <n v="6"/>
    <n v="293.04000000000002"/>
    <x v="14"/>
    <x v="4"/>
    <x v="9"/>
    <s v="Tue"/>
    <x v="43"/>
  </r>
  <r>
    <x v="268"/>
    <x v="11"/>
    <x v="26"/>
    <n v="94.62"/>
    <n v="1"/>
    <n v="94.62"/>
    <x v="3"/>
    <x v="4"/>
    <x v="9"/>
    <s v="Thu"/>
    <x v="43"/>
  </r>
  <r>
    <x v="268"/>
    <x v="26"/>
    <x v="12"/>
    <n v="6.7"/>
    <n v="39"/>
    <n v="261.3"/>
    <x v="10"/>
    <x v="4"/>
    <x v="9"/>
    <s v="Thu"/>
    <x v="43"/>
  </r>
  <r>
    <x v="269"/>
    <x v="36"/>
    <x v="20"/>
    <n v="142.80000000000001"/>
    <n v="23"/>
    <n v="3284.4"/>
    <x v="0"/>
    <x v="1"/>
    <x v="9"/>
    <s v="Fri"/>
    <x v="43"/>
  </r>
  <r>
    <x v="269"/>
    <x v="23"/>
    <x v="2"/>
    <n v="79.92"/>
    <n v="14"/>
    <n v="1118.8800000000001"/>
    <x v="0"/>
    <x v="6"/>
    <x v="9"/>
    <s v="Fri"/>
    <x v="43"/>
  </r>
  <r>
    <x v="270"/>
    <x v="16"/>
    <x v="32"/>
    <n v="201.28"/>
    <n v="30"/>
    <n v="6038.4"/>
    <x v="6"/>
    <x v="4"/>
    <x v="9"/>
    <s v="Sat"/>
    <x v="43"/>
  </r>
  <r>
    <x v="270"/>
    <x v="28"/>
    <x v="17"/>
    <n v="8.33"/>
    <n v="37"/>
    <n v="308.20999999999998"/>
    <x v="11"/>
    <x v="4"/>
    <x v="9"/>
    <s v="Sat"/>
    <x v="43"/>
  </r>
  <r>
    <x v="270"/>
    <x v="17"/>
    <x v="24"/>
    <n v="162"/>
    <n v="3"/>
    <n v="486"/>
    <x v="5"/>
    <x v="4"/>
    <x v="9"/>
    <s v="Sat"/>
    <x v="43"/>
  </r>
  <r>
    <x v="270"/>
    <x v="14"/>
    <x v="41"/>
    <n v="7.8599999999999994"/>
    <n v="6"/>
    <n v="47.16"/>
    <x v="0"/>
    <x v="3"/>
    <x v="9"/>
    <s v="Sat"/>
    <x v="43"/>
  </r>
  <r>
    <x v="271"/>
    <x v="16"/>
    <x v="2"/>
    <n v="79.92"/>
    <n v="8"/>
    <n v="639.36"/>
    <x v="6"/>
    <x v="4"/>
    <x v="9"/>
    <s v="Sun"/>
    <x v="44"/>
  </r>
  <r>
    <x v="271"/>
    <x v="37"/>
    <x v="30"/>
    <n v="162.54"/>
    <n v="6"/>
    <n v="975.24"/>
    <x v="14"/>
    <x v="4"/>
    <x v="9"/>
    <s v="Sun"/>
    <x v="44"/>
  </r>
  <r>
    <x v="272"/>
    <x v="4"/>
    <x v="11"/>
    <n v="94.17"/>
    <n v="15"/>
    <n v="1412.55"/>
    <x v="0"/>
    <x v="3"/>
    <x v="10"/>
    <s v="Mon"/>
    <x v="44"/>
  </r>
  <r>
    <x v="273"/>
    <x v="23"/>
    <x v="4"/>
    <n v="15.719999999999999"/>
    <n v="15"/>
    <n v="235.79999999999998"/>
    <x v="0"/>
    <x v="6"/>
    <x v="10"/>
    <s v="Tue"/>
    <x v="44"/>
  </r>
  <r>
    <x v="273"/>
    <x v="29"/>
    <x v="12"/>
    <n v="6.7"/>
    <n v="5"/>
    <n v="33.5"/>
    <x v="0"/>
    <x v="6"/>
    <x v="10"/>
    <s v="Tue"/>
    <x v="44"/>
  </r>
  <r>
    <x v="273"/>
    <x v="34"/>
    <x v="32"/>
    <n v="201.28"/>
    <n v="15"/>
    <n v="3019.2"/>
    <x v="0"/>
    <x v="0"/>
    <x v="10"/>
    <s v="Tue"/>
    <x v="44"/>
  </r>
  <r>
    <x v="274"/>
    <x v="15"/>
    <x v="29"/>
    <n v="76.25"/>
    <n v="11"/>
    <n v="838.75"/>
    <x v="4"/>
    <x v="4"/>
    <x v="10"/>
    <s v="Wed"/>
    <x v="44"/>
  </r>
  <r>
    <x v="274"/>
    <x v="10"/>
    <x v="6"/>
    <n v="122.08"/>
    <n v="12"/>
    <n v="1464.96"/>
    <x v="2"/>
    <x v="4"/>
    <x v="10"/>
    <s v="Wed"/>
    <x v="44"/>
  </r>
  <r>
    <x v="275"/>
    <x v="36"/>
    <x v="26"/>
    <n v="94.62"/>
    <n v="10"/>
    <n v="946.2"/>
    <x v="0"/>
    <x v="1"/>
    <x v="10"/>
    <s v="Thu"/>
    <x v="44"/>
  </r>
  <r>
    <x v="276"/>
    <x v="23"/>
    <x v="14"/>
    <n v="210"/>
    <n v="15"/>
    <n v="3150"/>
    <x v="0"/>
    <x v="6"/>
    <x v="10"/>
    <s v="Fri"/>
    <x v="44"/>
  </r>
  <r>
    <x v="277"/>
    <x v="16"/>
    <x v="8"/>
    <n v="83.08"/>
    <n v="13"/>
    <n v="1080.04"/>
    <x v="6"/>
    <x v="4"/>
    <x v="10"/>
    <s v="Sat"/>
    <x v="44"/>
  </r>
  <r>
    <x v="277"/>
    <x v="4"/>
    <x v="24"/>
    <n v="162"/>
    <n v="13"/>
    <n v="2106"/>
    <x v="0"/>
    <x v="3"/>
    <x v="10"/>
    <s v="Sat"/>
    <x v="44"/>
  </r>
  <r>
    <x v="277"/>
    <x v="9"/>
    <x v="43"/>
    <n v="96.3"/>
    <n v="10"/>
    <n v="963"/>
    <x v="0"/>
    <x v="0"/>
    <x v="10"/>
    <s v="Sat"/>
    <x v="44"/>
  </r>
  <r>
    <x v="277"/>
    <x v="20"/>
    <x v="4"/>
    <n v="15.719999999999999"/>
    <n v="13"/>
    <n v="204.35999999999999"/>
    <x v="7"/>
    <x v="4"/>
    <x v="10"/>
    <s v="Sat"/>
    <x v="44"/>
  </r>
  <r>
    <x v="278"/>
    <x v="23"/>
    <x v="32"/>
    <n v="201.28"/>
    <n v="11"/>
    <n v="2214.08"/>
    <x v="0"/>
    <x v="6"/>
    <x v="10"/>
    <s v="Sun"/>
    <x v="45"/>
  </r>
  <r>
    <x v="278"/>
    <x v="11"/>
    <x v="35"/>
    <n v="155.61000000000001"/>
    <n v="3"/>
    <n v="466.83000000000004"/>
    <x v="3"/>
    <x v="4"/>
    <x v="10"/>
    <s v="Sun"/>
    <x v="45"/>
  </r>
  <r>
    <x v="278"/>
    <x v="1"/>
    <x v="18"/>
    <n v="115.2"/>
    <n v="13"/>
    <n v="1497.6000000000001"/>
    <x v="0"/>
    <x v="1"/>
    <x v="10"/>
    <s v="Sun"/>
    <x v="45"/>
  </r>
  <r>
    <x v="279"/>
    <x v="0"/>
    <x v="15"/>
    <n v="47.730000000000004"/>
    <n v="15"/>
    <n v="715.95"/>
    <x v="0"/>
    <x v="0"/>
    <x v="10"/>
    <s v="Mon"/>
    <x v="45"/>
  </r>
  <r>
    <x v="279"/>
    <x v="38"/>
    <x v="43"/>
    <n v="96.3"/>
    <n v="11"/>
    <n v="1059.3"/>
    <x v="11"/>
    <x v="4"/>
    <x v="10"/>
    <s v="Mon"/>
    <x v="45"/>
  </r>
  <r>
    <x v="279"/>
    <x v="10"/>
    <x v="14"/>
    <n v="210"/>
    <n v="10"/>
    <n v="2100"/>
    <x v="2"/>
    <x v="4"/>
    <x v="10"/>
    <s v="Mon"/>
    <x v="45"/>
  </r>
  <r>
    <x v="279"/>
    <x v="26"/>
    <x v="40"/>
    <n v="49.21"/>
    <n v="26"/>
    <n v="1279.46"/>
    <x v="10"/>
    <x v="4"/>
    <x v="10"/>
    <s v="Mon"/>
    <x v="45"/>
  </r>
  <r>
    <x v="279"/>
    <x v="14"/>
    <x v="11"/>
    <n v="94.17"/>
    <n v="10"/>
    <n v="941.7"/>
    <x v="0"/>
    <x v="3"/>
    <x v="10"/>
    <s v="Mon"/>
    <x v="45"/>
  </r>
  <r>
    <x v="280"/>
    <x v="20"/>
    <x v="23"/>
    <n v="48.4"/>
    <n v="6"/>
    <n v="290.39999999999998"/>
    <x v="7"/>
    <x v="4"/>
    <x v="10"/>
    <s v="Tue"/>
    <x v="45"/>
  </r>
  <r>
    <x v="280"/>
    <x v="20"/>
    <x v="36"/>
    <n v="57.120000000000005"/>
    <n v="8"/>
    <n v="456.96000000000004"/>
    <x v="7"/>
    <x v="4"/>
    <x v="10"/>
    <s v="Tue"/>
    <x v="45"/>
  </r>
  <r>
    <x v="281"/>
    <x v="31"/>
    <x v="40"/>
    <n v="49.21"/>
    <n v="7"/>
    <n v="344.47"/>
    <x v="9"/>
    <x v="4"/>
    <x v="10"/>
    <s v="Wed"/>
    <x v="45"/>
  </r>
  <r>
    <x v="281"/>
    <x v="24"/>
    <x v="24"/>
    <n v="162"/>
    <n v="6"/>
    <n v="972"/>
    <x v="2"/>
    <x v="4"/>
    <x v="10"/>
    <s v="Wed"/>
    <x v="45"/>
  </r>
  <r>
    <x v="282"/>
    <x v="5"/>
    <x v="18"/>
    <n v="115.2"/>
    <n v="12"/>
    <n v="1382.4"/>
    <x v="0"/>
    <x v="2"/>
    <x v="10"/>
    <s v="Thu"/>
    <x v="45"/>
  </r>
  <r>
    <x v="282"/>
    <x v="26"/>
    <x v="2"/>
    <n v="79.92"/>
    <n v="16"/>
    <n v="1278.72"/>
    <x v="10"/>
    <x v="4"/>
    <x v="10"/>
    <s v="Thu"/>
    <x v="45"/>
  </r>
  <r>
    <x v="283"/>
    <x v="33"/>
    <x v="12"/>
    <n v="6.7"/>
    <n v="6"/>
    <n v="40.200000000000003"/>
    <x v="12"/>
    <x v="4"/>
    <x v="10"/>
    <s v="Fri"/>
    <x v="45"/>
  </r>
  <r>
    <x v="283"/>
    <x v="14"/>
    <x v="5"/>
    <n v="164.28"/>
    <n v="3"/>
    <n v="492.84000000000003"/>
    <x v="0"/>
    <x v="3"/>
    <x v="10"/>
    <s v="Fri"/>
    <x v="45"/>
  </r>
  <r>
    <x v="284"/>
    <x v="38"/>
    <x v="36"/>
    <n v="57.120000000000005"/>
    <n v="10"/>
    <n v="571.20000000000005"/>
    <x v="11"/>
    <x v="4"/>
    <x v="10"/>
    <s v="Sat"/>
    <x v="45"/>
  </r>
  <r>
    <x v="285"/>
    <x v="36"/>
    <x v="20"/>
    <n v="142.80000000000001"/>
    <n v="1"/>
    <n v="142.80000000000001"/>
    <x v="0"/>
    <x v="1"/>
    <x v="10"/>
    <s v="Sun"/>
    <x v="46"/>
  </r>
  <r>
    <x v="286"/>
    <x v="16"/>
    <x v="36"/>
    <n v="57.120000000000005"/>
    <n v="36"/>
    <n v="2056.3200000000002"/>
    <x v="6"/>
    <x v="4"/>
    <x v="10"/>
    <s v="Mon"/>
    <x v="46"/>
  </r>
  <r>
    <x v="286"/>
    <x v="29"/>
    <x v="11"/>
    <n v="94.17"/>
    <n v="14"/>
    <n v="1318.38"/>
    <x v="0"/>
    <x v="6"/>
    <x v="10"/>
    <s v="Mon"/>
    <x v="46"/>
  </r>
  <r>
    <x v="287"/>
    <x v="29"/>
    <x v="33"/>
    <n v="156.78"/>
    <n v="8"/>
    <n v="1254.24"/>
    <x v="0"/>
    <x v="6"/>
    <x v="10"/>
    <s v="Tue"/>
    <x v="46"/>
  </r>
  <r>
    <x v="288"/>
    <x v="2"/>
    <x v="2"/>
    <n v="79.92"/>
    <n v="33"/>
    <n v="2637.36"/>
    <x v="0"/>
    <x v="2"/>
    <x v="10"/>
    <s v="Wed"/>
    <x v="46"/>
  </r>
  <r>
    <x v="289"/>
    <x v="15"/>
    <x v="28"/>
    <n v="82.08"/>
    <n v="18"/>
    <n v="1477.44"/>
    <x v="4"/>
    <x v="4"/>
    <x v="10"/>
    <s v="Thu"/>
    <x v="46"/>
  </r>
  <r>
    <x v="289"/>
    <x v="20"/>
    <x v="21"/>
    <n v="58.3"/>
    <n v="8"/>
    <n v="466.4"/>
    <x v="7"/>
    <x v="4"/>
    <x v="10"/>
    <s v="Thu"/>
    <x v="46"/>
  </r>
  <r>
    <x v="289"/>
    <x v="6"/>
    <x v="39"/>
    <n v="42.55"/>
    <n v="4"/>
    <n v="170.2"/>
    <x v="0"/>
    <x v="3"/>
    <x v="10"/>
    <s v="Thu"/>
    <x v="46"/>
  </r>
  <r>
    <x v="290"/>
    <x v="35"/>
    <x v="40"/>
    <n v="49.21"/>
    <n v="4"/>
    <n v="196.84"/>
    <x v="13"/>
    <x v="4"/>
    <x v="10"/>
    <s v="Fri"/>
    <x v="46"/>
  </r>
  <r>
    <x v="291"/>
    <x v="36"/>
    <x v="26"/>
    <n v="94.62"/>
    <n v="11"/>
    <n v="1040.8200000000002"/>
    <x v="0"/>
    <x v="1"/>
    <x v="10"/>
    <s v="Sat"/>
    <x v="46"/>
  </r>
  <r>
    <x v="291"/>
    <x v="19"/>
    <x v="1"/>
    <n v="141.57"/>
    <n v="34"/>
    <n v="4813.38"/>
    <x v="4"/>
    <x v="4"/>
    <x v="10"/>
    <s v="Sat"/>
    <x v="46"/>
  </r>
  <r>
    <x v="291"/>
    <x v="35"/>
    <x v="21"/>
    <n v="58.3"/>
    <n v="14"/>
    <n v="816.19999999999993"/>
    <x v="13"/>
    <x v="4"/>
    <x v="10"/>
    <s v="Sat"/>
    <x v="46"/>
  </r>
  <r>
    <x v="292"/>
    <x v="2"/>
    <x v="34"/>
    <n v="85.5"/>
    <n v="1"/>
    <n v="85.5"/>
    <x v="0"/>
    <x v="2"/>
    <x v="10"/>
    <s v="Sun"/>
    <x v="47"/>
  </r>
  <r>
    <x v="292"/>
    <x v="0"/>
    <x v="38"/>
    <n v="173.88"/>
    <n v="24"/>
    <n v="4173.12"/>
    <x v="0"/>
    <x v="0"/>
    <x v="10"/>
    <s v="Sun"/>
    <x v="47"/>
  </r>
  <r>
    <x v="292"/>
    <x v="24"/>
    <x v="29"/>
    <n v="76.25"/>
    <n v="6"/>
    <n v="457.5"/>
    <x v="2"/>
    <x v="4"/>
    <x v="10"/>
    <s v="Sun"/>
    <x v="47"/>
  </r>
  <r>
    <x v="292"/>
    <x v="18"/>
    <x v="24"/>
    <n v="162"/>
    <n v="10"/>
    <n v="1620"/>
    <x v="0"/>
    <x v="5"/>
    <x v="10"/>
    <s v="Sun"/>
    <x v="47"/>
  </r>
  <r>
    <x v="292"/>
    <x v="7"/>
    <x v="7"/>
    <n v="146.72"/>
    <n v="1"/>
    <n v="146.72"/>
    <x v="1"/>
    <x v="4"/>
    <x v="10"/>
    <s v="Sun"/>
    <x v="47"/>
  </r>
  <r>
    <x v="293"/>
    <x v="34"/>
    <x v="33"/>
    <n v="156.78"/>
    <n v="35"/>
    <n v="5487.3"/>
    <x v="0"/>
    <x v="0"/>
    <x v="10"/>
    <s v="Mon"/>
    <x v="47"/>
  </r>
  <r>
    <x v="294"/>
    <x v="17"/>
    <x v="43"/>
    <n v="96.3"/>
    <n v="12"/>
    <n v="1155.5999999999999"/>
    <x v="5"/>
    <x v="4"/>
    <x v="10"/>
    <s v="Tue"/>
    <x v="47"/>
  </r>
  <r>
    <x v="295"/>
    <x v="38"/>
    <x v="9"/>
    <n v="48.84"/>
    <n v="5"/>
    <n v="244.20000000000002"/>
    <x v="11"/>
    <x v="4"/>
    <x v="10"/>
    <s v="Thu"/>
    <x v="47"/>
  </r>
  <r>
    <x v="295"/>
    <x v="34"/>
    <x v="19"/>
    <n v="80.94"/>
    <n v="10"/>
    <n v="809.4"/>
    <x v="0"/>
    <x v="0"/>
    <x v="10"/>
    <s v="Thu"/>
    <x v="47"/>
  </r>
  <r>
    <x v="295"/>
    <x v="34"/>
    <x v="25"/>
    <n v="16.64"/>
    <n v="14"/>
    <n v="232.96"/>
    <x v="0"/>
    <x v="0"/>
    <x v="10"/>
    <s v="Thu"/>
    <x v="47"/>
  </r>
  <r>
    <x v="296"/>
    <x v="17"/>
    <x v="41"/>
    <n v="7.8599999999999994"/>
    <n v="25"/>
    <n v="196.5"/>
    <x v="5"/>
    <x v="4"/>
    <x v="10"/>
    <s v="Fri"/>
    <x v="47"/>
  </r>
  <r>
    <x v="296"/>
    <x v="20"/>
    <x v="13"/>
    <n v="117.48"/>
    <n v="5"/>
    <n v="587.4"/>
    <x v="7"/>
    <x v="4"/>
    <x v="10"/>
    <s v="Fri"/>
    <x v="47"/>
  </r>
  <r>
    <x v="297"/>
    <x v="5"/>
    <x v="11"/>
    <n v="94.17"/>
    <n v="8"/>
    <n v="753.36"/>
    <x v="0"/>
    <x v="2"/>
    <x v="10"/>
    <s v="Sat"/>
    <x v="47"/>
  </r>
  <r>
    <x v="297"/>
    <x v="5"/>
    <x v="21"/>
    <n v="58.3"/>
    <n v="15"/>
    <n v="874.5"/>
    <x v="0"/>
    <x v="2"/>
    <x v="10"/>
    <s v="Sat"/>
    <x v="47"/>
  </r>
  <r>
    <x v="297"/>
    <x v="28"/>
    <x v="3"/>
    <n v="119.7"/>
    <n v="28"/>
    <n v="3351.6"/>
    <x v="11"/>
    <x v="4"/>
    <x v="10"/>
    <s v="Sat"/>
    <x v="47"/>
  </r>
  <r>
    <x v="297"/>
    <x v="17"/>
    <x v="12"/>
    <n v="6.7"/>
    <n v="28"/>
    <n v="187.6"/>
    <x v="5"/>
    <x v="4"/>
    <x v="10"/>
    <s v="Sat"/>
    <x v="47"/>
  </r>
  <r>
    <x v="297"/>
    <x v="18"/>
    <x v="1"/>
    <n v="141.57"/>
    <n v="37"/>
    <n v="5238.09"/>
    <x v="0"/>
    <x v="5"/>
    <x v="10"/>
    <s v="Sat"/>
    <x v="47"/>
  </r>
  <r>
    <x v="298"/>
    <x v="4"/>
    <x v="37"/>
    <n v="41.81"/>
    <n v="9"/>
    <n v="376.29"/>
    <x v="0"/>
    <x v="3"/>
    <x v="10"/>
    <s v="Sun"/>
    <x v="48"/>
  </r>
  <r>
    <x v="298"/>
    <x v="24"/>
    <x v="18"/>
    <n v="115.2"/>
    <n v="2"/>
    <n v="230.4"/>
    <x v="2"/>
    <x v="4"/>
    <x v="10"/>
    <s v="Sun"/>
    <x v="48"/>
  </r>
  <r>
    <x v="298"/>
    <x v="23"/>
    <x v="16"/>
    <n v="104.16"/>
    <n v="8"/>
    <n v="833.28"/>
    <x v="0"/>
    <x v="6"/>
    <x v="10"/>
    <s v="Sun"/>
    <x v="48"/>
  </r>
  <r>
    <x v="299"/>
    <x v="33"/>
    <x v="39"/>
    <n v="42.55"/>
    <n v="15"/>
    <n v="638.25"/>
    <x v="12"/>
    <x v="4"/>
    <x v="10"/>
    <s v="Tue"/>
    <x v="48"/>
  </r>
  <r>
    <x v="299"/>
    <x v="0"/>
    <x v="4"/>
    <n v="15.719999999999999"/>
    <n v="2"/>
    <n v="31.439999999999998"/>
    <x v="0"/>
    <x v="0"/>
    <x v="10"/>
    <s v="Tue"/>
    <x v="48"/>
  </r>
  <r>
    <x v="300"/>
    <x v="22"/>
    <x v="25"/>
    <n v="16.64"/>
    <n v="10"/>
    <n v="166.4"/>
    <x v="9"/>
    <x v="4"/>
    <x v="11"/>
    <s v="Thu"/>
    <x v="48"/>
  </r>
  <r>
    <x v="301"/>
    <x v="17"/>
    <x v="14"/>
    <n v="210"/>
    <n v="8"/>
    <n v="1680"/>
    <x v="5"/>
    <x v="4"/>
    <x v="11"/>
    <s v="Fri"/>
    <x v="48"/>
  </r>
  <r>
    <x v="301"/>
    <x v="19"/>
    <x v="21"/>
    <n v="58.3"/>
    <n v="2"/>
    <n v="116.6"/>
    <x v="4"/>
    <x v="4"/>
    <x v="11"/>
    <s v="Fri"/>
    <x v="48"/>
  </r>
  <r>
    <x v="301"/>
    <x v="6"/>
    <x v="37"/>
    <n v="41.81"/>
    <n v="5"/>
    <n v="209.05"/>
    <x v="0"/>
    <x v="3"/>
    <x v="11"/>
    <s v="Fri"/>
    <x v="48"/>
  </r>
  <r>
    <x v="302"/>
    <x v="2"/>
    <x v="9"/>
    <n v="48.84"/>
    <n v="32"/>
    <n v="1562.88"/>
    <x v="0"/>
    <x v="2"/>
    <x v="11"/>
    <s v="Sat"/>
    <x v="48"/>
  </r>
  <r>
    <x v="302"/>
    <x v="33"/>
    <x v="28"/>
    <n v="82.08"/>
    <n v="15"/>
    <n v="1231.2"/>
    <x v="12"/>
    <x v="4"/>
    <x v="11"/>
    <s v="Sat"/>
    <x v="48"/>
  </r>
  <r>
    <x v="302"/>
    <x v="21"/>
    <x v="42"/>
    <n v="24.66"/>
    <n v="10"/>
    <n v="246.6"/>
    <x v="8"/>
    <x v="4"/>
    <x v="11"/>
    <s v="Sat"/>
    <x v="48"/>
  </r>
  <r>
    <x v="303"/>
    <x v="21"/>
    <x v="17"/>
    <n v="8.33"/>
    <n v="12"/>
    <n v="99.960000000000008"/>
    <x v="8"/>
    <x v="4"/>
    <x v="11"/>
    <s v="Sun"/>
    <x v="49"/>
  </r>
  <r>
    <x v="303"/>
    <x v="9"/>
    <x v="9"/>
    <n v="48.84"/>
    <n v="15"/>
    <n v="732.6"/>
    <x v="0"/>
    <x v="0"/>
    <x v="11"/>
    <s v="Sun"/>
    <x v="49"/>
  </r>
  <r>
    <x v="303"/>
    <x v="18"/>
    <x v="5"/>
    <n v="164.28"/>
    <n v="1"/>
    <n v="164.28"/>
    <x v="0"/>
    <x v="5"/>
    <x v="11"/>
    <s v="Sun"/>
    <x v="49"/>
  </r>
  <r>
    <x v="304"/>
    <x v="37"/>
    <x v="2"/>
    <n v="79.92"/>
    <n v="5"/>
    <n v="399.6"/>
    <x v="14"/>
    <x v="4"/>
    <x v="11"/>
    <s v="Tue"/>
    <x v="49"/>
  </r>
  <r>
    <x v="304"/>
    <x v="23"/>
    <x v="25"/>
    <n v="16.64"/>
    <n v="13"/>
    <n v="216.32"/>
    <x v="0"/>
    <x v="6"/>
    <x v="11"/>
    <s v="Tue"/>
    <x v="49"/>
  </r>
  <r>
    <x v="304"/>
    <x v="26"/>
    <x v="2"/>
    <n v="79.92"/>
    <n v="12"/>
    <n v="959.04"/>
    <x v="10"/>
    <x v="4"/>
    <x v="11"/>
    <s v="Tue"/>
    <x v="49"/>
  </r>
  <r>
    <x v="304"/>
    <x v="7"/>
    <x v="34"/>
    <n v="85.5"/>
    <n v="27"/>
    <n v="2308.5"/>
    <x v="1"/>
    <x v="4"/>
    <x v="11"/>
    <s v="Tue"/>
    <x v="49"/>
  </r>
  <r>
    <x v="304"/>
    <x v="39"/>
    <x v="6"/>
    <n v="122.08"/>
    <n v="8"/>
    <n v="976.64"/>
    <x v="3"/>
    <x v="4"/>
    <x v="11"/>
    <s v="Tue"/>
    <x v="49"/>
  </r>
  <r>
    <x v="305"/>
    <x v="18"/>
    <x v="38"/>
    <n v="173.88"/>
    <n v="32"/>
    <n v="5564.16"/>
    <x v="0"/>
    <x v="5"/>
    <x v="11"/>
    <s v="Wed"/>
    <x v="49"/>
  </r>
  <r>
    <x v="305"/>
    <x v="35"/>
    <x v="28"/>
    <n v="82.08"/>
    <n v="14"/>
    <n v="1149.1199999999999"/>
    <x v="13"/>
    <x v="4"/>
    <x v="11"/>
    <s v="Wed"/>
    <x v="49"/>
  </r>
  <r>
    <x v="306"/>
    <x v="17"/>
    <x v="15"/>
    <n v="47.730000000000004"/>
    <n v="16"/>
    <n v="763.68000000000006"/>
    <x v="5"/>
    <x v="4"/>
    <x v="11"/>
    <s v="Thu"/>
    <x v="49"/>
  </r>
  <r>
    <x v="307"/>
    <x v="17"/>
    <x v="33"/>
    <n v="156.78"/>
    <n v="6"/>
    <n v="940.68000000000006"/>
    <x v="5"/>
    <x v="4"/>
    <x v="11"/>
    <s v="Fri"/>
    <x v="49"/>
  </r>
  <r>
    <x v="307"/>
    <x v="39"/>
    <x v="22"/>
    <n v="85.76"/>
    <n v="19"/>
    <n v="1629.44"/>
    <x v="3"/>
    <x v="4"/>
    <x v="11"/>
    <s v="Fri"/>
    <x v="49"/>
  </r>
  <r>
    <x v="308"/>
    <x v="12"/>
    <x v="7"/>
    <n v="146.72"/>
    <n v="10"/>
    <n v="1467.2"/>
    <x v="4"/>
    <x v="4"/>
    <x v="11"/>
    <s v="Sat"/>
    <x v="49"/>
  </r>
  <r>
    <x v="308"/>
    <x v="23"/>
    <x v="36"/>
    <n v="57.120000000000005"/>
    <n v="5"/>
    <n v="285.60000000000002"/>
    <x v="0"/>
    <x v="6"/>
    <x v="11"/>
    <s v="Sat"/>
    <x v="49"/>
  </r>
  <r>
    <x v="308"/>
    <x v="34"/>
    <x v="6"/>
    <n v="122.08"/>
    <n v="9"/>
    <n v="1098.72"/>
    <x v="0"/>
    <x v="0"/>
    <x v="11"/>
    <s v="Sat"/>
    <x v="49"/>
  </r>
  <r>
    <x v="309"/>
    <x v="9"/>
    <x v="38"/>
    <n v="173.88"/>
    <n v="10"/>
    <n v="1738.8"/>
    <x v="0"/>
    <x v="0"/>
    <x v="11"/>
    <s v="Sun"/>
    <x v="50"/>
  </r>
  <r>
    <x v="309"/>
    <x v="18"/>
    <x v="32"/>
    <n v="201.28"/>
    <n v="9"/>
    <n v="1811.52"/>
    <x v="0"/>
    <x v="5"/>
    <x v="11"/>
    <s v="Sun"/>
    <x v="50"/>
  </r>
  <r>
    <x v="310"/>
    <x v="12"/>
    <x v="11"/>
    <n v="94.17"/>
    <n v="6"/>
    <n v="565.02"/>
    <x v="4"/>
    <x v="4"/>
    <x v="11"/>
    <s v="Tue"/>
    <x v="50"/>
  </r>
  <r>
    <x v="310"/>
    <x v="38"/>
    <x v="24"/>
    <n v="162"/>
    <n v="4"/>
    <n v="648"/>
    <x v="11"/>
    <x v="4"/>
    <x v="11"/>
    <s v="Tue"/>
    <x v="50"/>
  </r>
  <r>
    <x v="310"/>
    <x v="35"/>
    <x v="35"/>
    <n v="155.61000000000001"/>
    <n v="4"/>
    <n v="622.44000000000005"/>
    <x v="13"/>
    <x v="4"/>
    <x v="11"/>
    <s v="Tue"/>
    <x v="50"/>
  </r>
  <r>
    <x v="311"/>
    <x v="0"/>
    <x v="32"/>
    <n v="201.28"/>
    <n v="33"/>
    <n v="6642.24"/>
    <x v="0"/>
    <x v="0"/>
    <x v="11"/>
    <s v="Wed"/>
    <x v="50"/>
  </r>
  <r>
    <x v="311"/>
    <x v="23"/>
    <x v="41"/>
    <n v="7.8599999999999994"/>
    <n v="13"/>
    <n v="102.17999999999999"/>
    <x v="0"/>
    <x v="6"/>
    <x v="11"/>
    <s v="Wed"/>
    <x v="50"/>
  </r>
  <r>
    <x v="311"/>
    <x v="34"/>
    <x v="25"/>
    <n v="16.64"/>
    <n v="6"/>
    <n v="99.84"/>
    <x v="0"/>
    <x v="0"/>
    <x v="11"/>
    <s v="Wed"/>
    <x v="50"/>
  </r>
  <r>
    <x v="312"/>
    <x v="18"/>
    <x v="5"/>
    <n v="164.28"/>
    <n v="9"/>
    <n v="1478.52"/>
    <x v="0"/>
    <x v="5"/>
    <x v="11"/>
    <s v="Thu"/>
    <x v="50"/>
  </r>
  <r>
    <x v="313"/>
    <x v="31"/>
    <x v="42"/>
    <n v="24.66"/>
    <n v="20"/>
    <n v="493.2"/>
    <x v="9"/>
    <x v="4"/>
    <x v="11"/>
    <s v="Fri"/>
    <x v="50"/>
  </r>
  <r>
    <x v="314"/>
    <x v="24"/>
    <x v="1"/>
    <n v="141.57"/>
    <n v="8"/>
    <n v="1132.56"/>
    <x v="2"/>
    <x v="4"/>
    <x v="11"/>
    <s v="Sat"/>
    <x v="50"/>
  </r>
  <r>
    <x v="314"/>
    <x v="34"/>
    <x v="19"/>
    <n v="80.94"/>
    <n v="2"/>
    <n v="161.88"/>
    <x v="0"/>
    <x v="0"/>
    <x v="11"/>
    <s v="Sat"/>
    <x v="50"/>
  </r>
  <r>
    <x v="315"/>
    <x v="37"/>
    <x v="12"/>
    <n v="6.7"/>
    <n v="20"/>
    <n v="134"/>
    <x v="14"/>
    <x v="4"/>
    <x v="11"/>
    <s v="Sun"/>
    <x v="51"/>
  </r>
  <r>
    <x v="315"/>
    <x v="0"/>
    <x v="28"/>
    <n v="82.08"/>
    <n v="7"/>
    <n v="574.55999999999995"/>
    <x v="0"/>
    <x v="0"/>
    <x v="11"/>
    <s v="Sun"/>
    <x v="51"/>
  </r>
  <r>
    <x v="315"/>
    <x v="0"/>
    <x v="41"/>
    <n v="7.8599999999999994"/>
    <n v="11"/>
    <n v="86.46"/>
    <x v="0"/>
    <x v="0"/>
    <x v="11"/>
    <s v="Sun"/>
    <x v="51"/>
  </r>
  <r>
    <x v="315"/>
    <x v="23"/>
    <x v="10"/>
    <n v="53.11"/>
    <n v="3"/>
    <n v="159.32999999999998"/>
    <x v="0"/>
    <x v="6"/>
    <x v="11"/>
    <s v="Sun"/>
    <x v="51"/>
  </r>
  <r>
    <x v="315"/>
    <x v="28"/>
    <x v="23"/>
    <n v="48.4"/>
    <n v="14"/>
    <n v="677.6"/>
    <x v="11"/>
    <x v="4"/>
    <x v="11"/>
    <s v="Sun"/>
    <x v="51"/>
  </r>
  <r>
    <x v="315"/>
    <x v="17"/>
    <x v="27"/>
    <n v="149.46"/>
    <n v="12"/>
    <n v="1793.52"/>
    <x v="5"/>
    <x v="4"/>
    <x v="11"/>
    <s v="Sun"/>
    <x v="51"/>
  </r>
  <r>
    <x v="315"/>
    <x v="18"/>
    <x v="27"/>
    <n v="149.46"/>
    <n v="13"/>
    <n v="1942.98"/>
    <x v="0"/>
    <x v="5"/>
    <x v="11"/>
    <s v="Sun"/>
    <x v="51"/>
  </r>
  <r>
    <x v="315"/>
    <x v="26"/>
    <x v="23"/>
    <n v="48.4"/>
    <n v="10"/>
    <n v="484"/>
    <x v="10"/>
    <x v="4"/>
    <x v="11"/>
    <s v="Sun"/>
    <x v="51"/>
  </r>
  <r>
    <x v="316"/>
    <x v="4"/>
    <x v="11"/>
    <n v="94.17"/>
    <n v="14"/>
    <n v="1318.38"/>
    <x v="0"/>
    <x v="3"/>
    <x v="11"/>
    <s v="Mon"/>
    <x v="51"/>
  </r>
  <r>
    <x v="316"/>
    <x v="9"/>
    <x v="12"/>
    <n v="6.7"/>
    <n v="24"/>
    <n v="160.80000000000001"/>
    <x v="0"/>
    <x v="0"/>
    <x v="11"/>
    <s v="Mon"/>
    <x v="51"/>
  </r>
  <r>
    <x v="317"/>
    <x v="31"/>
    <x v="34"/>
    <n v="85.5"/>
    <n v="10"/>
    <n v="855"/>
    <x v="9"/>
    <x v="4"/>
    <x v="11"/>
    <s v="Tue"/>
    <x v="51"/>
  </r>
  <r>
    <x v="317"/>
    <x v="5"/>
    <x v="42"/>
    <n v="24.66"/>
    <n v="10"/>
    <n v="246.6"/>
    <x v="0"/>
    <x v="2"/>
    <x v="11"/>
    <s v="Tue"/>
    <x v="51"/>
  </r>
  <r>
    <x v="317"/>
    <x v="38"/>
    <x v="29"/>
    <n v="76.25"/>
    <n v="16"/>
    <n v="1220"/>
    <x v="11"/>
    <x v="4"/>
    <x v="11"/>
    <s v="Tue"/>
    <x v="51"/>
  </r>
  <r>
    <x v="317"/>
    <x v="18"/>
    <x v="1"/>
    <n v="141.57"/>
    <n v="16"/>
    <n v="2265.12"/>
    <x v="0"/>
    <x v="5"/>
    <x v="11"/>
    <s v="Tue"/>
    <x v="51"/>
  </r>
  <r>
    <x v="318"/>
    <x v="8"/>
    <x v="38"/>
    <n v="173.88"/>
    <n v="35"/>
    <n v="6085.8"/>
    <x v="0"/>
    <x v="3"/>
    <x v="11"/>
    <s v="Wed"/>
    <x v="51"/>
  </r>
  <r>
    <x v="318"/>
    <x v="5"/>
    <x v="24"/>
    <n v="162"/>
    <n v="5"/>
    <n v="810"/>
    <x v="0"/>
    <x v="2"/>
    <x v="11"/>
    <s v="Wed"/>
    <x v="51"/>
  </r>
  <r>
    <x v="319"/>
    <x v="38"/>
    <x v="43"/>
    <n v="96.3"/>
    <n v="8"/>
    <n v="770.4"/>
    <x v="11"/>
    <x v="4"/>
    <x v="11"/>
    <s v="Fri"/>
    <x v="51"/>
  </r>
  <r>
    <x v="319"/>
    <x v="20"/>
    <x v="24"/>
    <n v="162"/>
    <n v="8"/>
    <n v="1296"/>
    <x v="7"/>
    <x v="4"/>
    <x v="11"/>
    <s v="Fri"/>
    <x v="51"/>
  </r>
  <r>
    <x v="320"/>
    <x v="33"/>
    <x v="23"/>
    <n v="48.4"/>
    <n v="29"/>
    <n v="1403.6"/>
    <x v="12"/>
    <x v="4"/>
    <x v="11"/>
    <s v="Sat"/>
    <x v="51"/>
  </r>
  <r>
    <x v="320"/>
    <x v="33"/>
    <x v="17"/>
    <n v="8.33"/>
    <n v="39"/>
    <n v="324.87"/>
    <x v="12"/>
    <x v="4"/>
    <x v="11"/>
    <s v="Sat"/>
    <x v="51"/>
  </r>
  <r>
    <x v="320"/>
    <x v="4"/>
    <x v="18"/>
    <n v="115.2"/>
    <n v="15"/>
    <n v="1728"/>
    <x v="0"/>
    <x v="3"/>
    <x v="11"/>
    <s v="Sat"/>
    <x v="51"/>
  </r>
  <r>
    <x v="321"/>
    <x v="26"/>
    <x v="38"/>
    <n v="173.88"/>
    <n v="14"/>
    <n v="2434.3199999999997"/>
    <x v="10"/>
    <x v="4"/>
    <x v="11"/>
    <s v="Sun"/>
    <x v="52"/>
  </r>
  <r>
    <x v="321"/>
    <x v="6"/>
    <x v="22"/>
    <n v="85.76"/>
    <n v="36"/>
    <n v="3087.36"/>
    <x v="0"/>
    <x v="3"/>
    <x v="11"/>
    <s v="Sun"/>
    <x v="52"/>
  </r>
  <r>
    <x v="322"/>
    <x v="6"/>
    <x v="5"/>
    <n v="164.28"/>
    <n v="26"/>
    <n v="4271.28"/>
    <x v="0"/>
    <x v="3"/>
    <x v="11"/>
    <s v="Mon"/>
    <x v="52"/>
  </r>
  <r>
    <x v="322"/>
    <x v="39"/>
    <x v="10"/>
    <n v="53.11"/>
    <n v="14"/>
    <n v="743.54"/>
    <x v="3"/>
    <x v="4"/>
    <x v="11"/>
    <s v="Mon"/>
    <x v="52"/>
  </r>
  <r>
    <x v="323"/>
    <x v="8"/>
    <x v="10"/>
    <n v="53.11"/>
    <n v="6"/>
    <n v="318.65999999999997"/>
    <x v="0"/>
    <x v="3"/>
    <x v="11"/>
    <s v="Tue"/>
    <x v="52"/>
  </r>
  <r>
    <x v="324"/>
    <x v="2"/>
    <x v="26"/>
    <n v="94.62"/>
    <n v="15"/>
    <n v="1419.3000000000002"/>
    <x v="0"/>
    <x v="2"/>
    <x v="11"/>
    <s v="Wed"/>
    <x v="52"/>
  </r>
  <r>
    <x v="324"/>
    <x v="33"/>
    <x v="34"/>
    <n v="85.5"/>
    <n v="26"/>
    <n v="2223"/>
    <x v="12"/>
    <x v="4"/>
    <x v="11"/>
    <s v="Wed"/>
    <x v="52"/>
  </r>
  <r>
    <x v="324"/>
    <x v="19"/>
    <x v="24"/>
    <n v="162"/>
    <n v="1"/>
    <n v="162"/>
    <x v="4"/>
    <x v="4"/>
    <x v="11"/>
    <s v="Wed"/>
    <x v="52"/>
  </r>
  <r>
    <x v="325"/>
    <x v="2"/>
    <x v="5"/>
    <n v="164.28"/>
    <n v="13"/>
    <n v="2135.64"/>
    <x v="0"/>
    <x v="2"/>
    <x v="11"/>
    <s v="Thu"/>
    <x v="52"/>
  </r>
  <r>
    <x v="325"/>
    <x v="0"/>
    <x v="38"/>
    <n v="173.88"/>
    <n v="14"/>
    <n v="2434.3199999999997"/>
    <x v="0"/>
    <x v="0"/>
    <x v="11"/>
    <s v="Thu"/>
    <x v="52"/>
  </r>
  <r>
    <x v="325"/>
    <x v="20"/>
    <x v="32"/>
    <n v="201.28"/>
    <n v="31"/>
    <n v="6239.68"/>
    <x v="7"/>
    <x v="4"/>
    <x v="11"/>
    <s v="Thu"/>
    <x v="52"/>
  </r>
  <r>
    <x v="326"/>
    <x v="12"/>
    <x v="23"/>
    <n v="48.4"/>
    <n v="6"/>
    <n v="290.39999999999998"/>
    <x v="4"/>
    <x v="4"/>
    <x v="11"/>
    <s v="Fri"/>
    <x v="52"/>
  </r>
  <r>
    <x v="326"/>
    <x v="9"/>
    <x v="3"/>
    <n v="119.7"/>
    <n v="12"/>
    <n v="1436.4"/>
    <x v="0"/>
    <x v="0"/>
    <x v="11"/>
    <s v="Fri"/>
    <x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B556AD-0B83-4418-B2E9-374A2BD5106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4:J58" firstHeaderRow="1" firstDataRow="1" firstDataCol="1"/>
  <pivotFields count="13">
    <pivotField numFmtId="14"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showAll="0"/>
    <pivotField showAll="0"/>
    <pivotField numFmtId="165" showAll="0"/>
    <pivotField showAll="0"/>
    <pivotField dataField="1" numFmtId="165" showAll="0"/>
    <pivotField showAll="0"/>
    <pivotField showAll="0">
      <items count="9">
        <item x="5"/>
        <item x="6"/>
        <item x="4"/>
        <item x="2"/>
        <item x="3"/>
        <item x="1"/>
        <item x="0"/>
        <item m="1" x="7"/>
        <item t="default"/>
      </items>
    </pivotField>
    <pivotField showAll="0">
      <items count="13">
        <item x="0"/>
        <item x="1"/>
        <item x="2"/>
        <item x="3"/>
        <item x="4"/>
        <item x="5"/>
        <item x="6"/>
        <item x="7"/>
        <item x="8"/>
        <item x="9"/>
        <item x="10"/>
        <item x="11"/>
        <item t="default"/>
      </items>
    </pivotField>
    <pivotField showAll="0"/>
    <pivotField axis="axisRow" numFmtId="1" showAll="0" sumSubtotal="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sum"/>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Sum of Actual SALE" fld="5" baseField="10" baseItem="0" numFmtId="165"/>
  </dataField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F79C41-31F5-4560-87A2-EC8BB2ABDC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W20" firstHeaderRow="1" firstDataRow="1" firstDataCol="1"/>
  <pivotFields count="13">
    <pivotField numFmtId="14"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showAll="0"/>
    <pivotField showAll="0"/>
    <pivotField numFmtId="165" showAll="0"/>
    <pivotField showAll="0"/>
    <pivotField dataField="1" numFmtId="165" showAll="0"/>
    <pivotField axis="axisRow" showAll="0" sortType="descending">
      <items count="17">
        <item m="1" x="15"/>
        <item x="3"/>
        <item x="2"/>
        <item x="7"/>
        <item x="9"/>
        <item x="5"/>
        <item x="4"/>
        <item x="6"/>
        <item x="8"/>
        <item x="14"/>
        <item x="0"/>
        <item x="1"/>
        <item x="13"/>
        <item x="10"/>
        <item x="11"/>
        <item x="12"/>
        <item t="default"/>
      </items>
      <autoSortScope>
        <pivotArea dataOnly="0" outline="0" fieldPosition="0">
          <references count="1">
            <reference field="4294967294" count="1" selected="0">
              <x v="0"/>
            </reference>
          </references>
        </pivotArea>
      </autoSortScope>
    </pivotField>
    <pivotField showAll="0">
      <items count="9">
        <item x="5"/>
        <item x="6"/>
        <item x="4"/>
        <item x="2"/>
        <item x="3"/>
        <item x="1"/>
        <item x="0"/>
        <item m="1" x="7"/>
        <item t="default"/>
      </items>
    </pivotField>
    <pivotField showAll="0">
      <items count="13">
        <item x="0"/>
        <item x="1"/>
        <item x="2"/>
        <item x="3"/>
        <item x="4"/>
        <item x="5"/>
        <item x="6"/>
        <item x="7"/>
        <item x="8"/>
        <item x="9"/>
        <item x="10"/>
        <item x="11"/>
        <item t="default"/>
      </items>
    </pivotField>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6">
    <i>
      <x v="10"/>
    </i>
    <i>
      <x v="6"/>
    </i>
    <i>
      <x v="8"/>
    </i>
    <i>
      <x v="5"/>
    </i>
    <i>
      <x v="2"/>
    </i>
    <i>
      <x v="7"/>
    </i>
    <i>
      <x v="13"/>
    </i>
    <i>
      <x v="14"/>
    </i>
    <i>
      <x v="4"/>
    </i>
    <i>
      <x v="3"/>
    </i>
    <i>
      <x v="15"/>
    </i>
    <i>
      <x v="11"/>
    </i>
    <i>
      <x v="12"/>
    </i>
    <i>
      <x v="1"/>
    </i>
    <i>
      <x v="9"/>
    </i>
    <i t="grand">
      <x/>
    </i>
  </rowItems>
  <colItems count="1">
    <i/>
  </colItems>
  <dataFields count="1">
    <dataField name="Sum of Actual SALE"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675032-4887-4FA3-8A16-5E60F2D981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3">
    <pivotField numFmtId="14"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showAll="0"/>
    <pivotField showAll="0"/>
    <pivotField numFmtId="165" showAll="0"/>
    <pivotField showAll="0"/>
    <pivotField dataField="1" numFmtId="165" showAll="0"/>
    <pivotField showAll="0"/>
    <pivotField showAll="0">
      <items count="9">
        <item x="5"/>
        <item x="6"/>
        <item x="4"/>
        <item x="2"/>
        <item x="3"/>
        <item x="1"/>
        <item x="0"/>
        <item m="1" x="7"/>
        <item t="default"/>
      </items>
    </pivotField>
    <pivotField showAll="0">
      <items count="13">
        <item x="0"/>
        <item x="1"/>
        <item x="2"/>
        <item x="3"/>
        <item x="4"/>
        <item x="5"/>
        <item x="6"/>
        <item x="7"/>
        <item x="8"/>
        <item x="9"/>
        <item x="10"/>
        <item x="11"/>
        <item t="default"/>
      </items>
    </pivotField>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ctual SALE"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80D327-1F20-4BB7-B0D9-FB8335D2EA3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4:AB8" firstHeaderRow="1" firstDataRow="1" firstDataCol="1"/>
  <pivotFields count="13">
    <pivotField numFmtId="14"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axis="axisRow" showAll="0" measureFilter="1" sortType="descending">
      <items count="81">
        <item m="1" x="56"/>
        <item m="1" x="73"/>
        <item m="1" x="43"/>
        <item m="1" x="71"/>
        <item m="1" x="44"/>
        <item m="1" x="55"/>
        <item m="1" x="77"/>
        <item m="1" x="64"/>
        <item m="1" x="53"/>
        <item m="1" x="76"/>
        <item m="1" x="61"/>
        <item m="1" x="72"/>
        <item m="1" x="78"/>
        <item m="1" x="63"/>
        <item m="1" x="68"/>
        <item m="1" x="57"/>
        <item m="1" x="62"/>
        <item m="1" x="49"/>
        <item m="1" x="58"/>
        <item m="1" x="50"/>
        <item m="1" x="60"/>
        <item m="1" x="69"/>
        <item m="1" x="74"/>
        <item m="1" x="65"/>
        <item m="1" x="66"/>
        <item m="1" x="54"/>
        <item m="1" x="67"/>
        <item m="1" x="75"/>
        <item m="1" x="41"/>
        <item m="1" x="70"/>
        <item m="1" x="42"/>
        <item m="1" x="52"/>
        <item m="1" x="40"/>
        <item m="1" x="48"/>
        <item m="1" x="45"/>
        <item m="1" x="59"/>
        <item m="1" x="51"/>
        <item m="1" x="46"/>
        <item m="1" x="47"/>
        <item m="1" x="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dataField="1" numFmtId="165" showAll="0"/>
    <pivotField showAll="0"/>
    <pivotField showAll="0">
      <items count="9">
        <item x="5"/>
        <item x="6"/>
        <item x="4"/>
        <item x="2"/>
        <item x="3"/>
        <item x="1"/>
        <item x="0"/>
        <item m="1" x="7"/>
        <item t="default"/>
      </items>
    </pivotField>
    <pivotField showAll="0">
      <items count="13">
        <item x="0"/>
        <item x="1"/>
        <item x="2"/>
        <item x="3"/>
        <item x="4"/>
        <item x="5"/>
        <item x="6"/>
        <item x="7"/>
        <item x="8"/>
        <item x="9"/>
        <item x="10"/>
        <item x="11"/>
        <item t="default"/>
      </items>
    </pivotField>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v="40"/>
    </i>
    <i>
      <x v="69"/>
    </i>
    <i>
      <x v="74"/>
    </i>
    <i t="grand">
      <x/>
    </i>
  </rowItems>
  <colItems count="1">
    <i/>
  </colItems>
  <dataFields count="1">
    <dataField name="Sum of Actual SALE" fld="5" baseField="0" baseItem="0" numFmtId="165"/>
  </dataFields>
  <pivotTableStyleInfo name="PivotStyleLight16" showRowHeaders="1" showColHeaders="1" showRowStripes="0" showColStripes="0" showLastColumn="1"/>
  <filters count="1">
    <filter fld="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EC61A0-B12F-485B-9F25-FFAE37A7265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4:E17" firstHeaderRow="1" firstDataRow="1" firstDataCol="1"/>
  <pivotFields count="13">
    <pivotField numFmtId="14"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showAll="0"/>
    <pivotField showAll="0"/>
    <pivotField numFmtId="165" showAll="0"/>
    <pivotField showAll="0"/>
    <pivotField dataField="1" numFmtId="165" showAll="0"/>
    <pivotField showAll="0"/>
    <pivotField showAll="0">
      <items count="9">
        <item x="5"/>
        <item x="6"/>
        <item x="4"/>
        <item x="2"/>
        <item x="3"/>
        <item x="1"/>
        <item x="0"/>
        <item m="1" x="7"/>
        <item t="default"/>
      </items>
    </pivotField>
    <pivotField axis="axisRow" showAll="0">
      <items count="13">
        <item x="0"/>
        <item x="1"/>
        <item x="2"/>
        <item x="3"/>
        <item x="4"/>
        <item x="5"/>
        <item x="6"/>
        <item x="7"/>
        <item x="8"/>
        <item x="9"/>
        <item x="10"/>
        <item x="11"/>
        <item t="default"/>
      </items>
    </pivotField>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Actual SALE"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01C1AF-50E2-4421-9A57-52D0D3B554E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P5:AQ17" firstHeaderRow="1" firstDataRow="1" firstDataCol="1"/>
  <pivotFields count="13">
    <pivotField numFmtId="14" subtotalTop="0"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subtotalTop="0" showAll="0"/>
    <pivotField subtotalTop="0" showAll="0"/>
    <pivotField numFmtId="165" subtotalTop="0" showAll="0"/>
    <pivotField subtotalTop="0" showAll="0"/>
    <pivotField dataField="1" numFmtId="165" subtotalTop="0" showAll="0"/>
    <pivotField subtotalTop="0" showAll="0"/>
    <pivotField subtotalTop="0" showAll="0">
      <items count="9">
        <item x="5"/>
        <item x="6"/>
        <item x="4"/>
        <item x="2"/>
        <item x="3"/>
        <item x="1"/>
        <item x="0"/>
        <item m="1" x="7"/>
        <item t="default"/>
      </items>
    </pivotField>
    <pivotField axis="axisRow" subtotalTop="0" showAll="0">
      <items count="13">
        <item x="0"/>
        <item x="1"/>
        <item x="2"/>
        <item x="3"/>
        <item x="4"/>
        <item x="5"/>
        <item x="6"/>
        <item x="7"/>
        <item x="8"/>
        <item x="9"/>
        <item x="10"/>
        <item x="11"/>
        <item t="default"/>
      </items>
    </pivotField>
    <pivotField subtotalTop="0" showAll="0"/>
    <pivotField numFmtId="1" subtotalTop="0" showAll="0"/>
    <pivotField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ubtotalTop="0"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2">
    <i>
      <x/>
    </i>
    <i>
      <x v="1"/>
    </i>
    <i>
      <x v="2"/>
    </i>
    <i>
      <x v="3"/>
    </i>
    <i>
      <x v="4"/>
    </i>
    <i>
      <x v="5"/>
    </i>
    <i>
      <x v="6"/>
    </i>
    <i>
      <x v="7"/>
    </i>
    <i>
      <x v="8"/>
    </i>
    <i>
      <x v="9"/>
    </i>
    <i>
      <x v="10"/>
    </i>
    <i>
      <x v="11"/>
    </i>
  </rowItems>
  <colItems count="1">
    <i/>
  </colItems>
  <dataFields count="1">
    <dataField name="Sum of Actual SALE"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FC7CED-01AE-4C6D-8B47-C380F4A3FB4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4:N15" firstHeaderRow="1" firstDataRow="1" firstDataCol="1"/>
  <pivotFields count="13">
    <pivotField numFmtId="14"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showAll="0"/>
    <pivotField axis="axisRow" showAll="0" measureFilter="1" sortType="ascending">
      <items count="89">
        <item m="1" x="75"/>
        <item m="1" x="64"/>
        <item m="1" x="63"/>
        <item m="1" x="53"/>
        <item m="1" x="79"/>
        <item m="1" x="78"/>
        <item m="1" x="59"/>
        <item m="1" x="70"/>
        <item m="1" x="85"/>
        <item m="1" x="49"/>
        <item m="1" x="67"/>
        <item m="1" x="55"/>
        <item m="1" x="50"/>
        <item m="1" x="51"/>
        <item m="1" x="48"/>
        <item m="1" x="69"/>
        <item m="1" x="77"/>
        <item m="1" x="84"/>
        <item m="1" x="58"/>
        <item m="1" x="73"/>
        <item m="1" x="74"/>
        <item m="1" x="45"/>
        <item m="1" x="71"/>
        <item m="1" x="44"/>
        <item m="1" x="61"/>
        <item m="1" x="86"/>
        <item m="1" x="80"/>
        <item m="1" x="81"/>
        <item m="1" x="54"/>
        <item m="1" x="76"/>
        <item m="1" x="60"/>
        <item m="1" x="57"/>
        <item m="1" x="47"/>
        <item m="1" x="65"/>
        <item m="1" x="56"/>
        <item m="1" x="87"/>
        <item m="1" x="66"/>
        <item m="1" x="46"/>
        <item m="1" x="83"/>
        <item m="1" x="62"/>
        <item m="1" x="82"/>
        <item m="1" x="68"/>
        <item m="1" x="52"/>
        <item m="1" x="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autoSortScope>
        <pivotArea dataOnly="0" outline="0" fieldPosition="0">
          <references count="1">
            <reference field="4294967294" count="1" selected="0">
              <x v="0"/>
            </reference>
          </references>
        </pivotArea>
      </autoSortScope>
    </pivotField>
    <pivotField numFmtId="165" showAll="0"/>
    <pivotField showAll="0"/>
    <pivotField dataField="1" numFmtId="165" showAll="0"/>
    <pivotField showAll="0"/>
    <pivotField showAll="0">
      <items count="9">
        <item x="5"/>
        <item x="6"/>
        <item x="4"/>
        <item x="2"/>
        <item x="3"/>
        <item x="1"/>
        <item x="0"/>
        <item m="1" x="7"/>
        <item t="default"/>
      </items>
    </pivotField>
    <pivotField showAll="0">
      <items count="13">
        <item x="0"/>
        <item x="1"/>
        <item x="2"/>
        <item x="3"/>
        <item x="4"/>
        <item x="5"/>
        <item x="6"/>
        <item x="7"/>
        <item x="8"/>
        <item x="9"/>
        <item x="10"/>
        <item x="11"/>
        <item t="default"/>
      </items>
    </pivotField>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v="49"/>
    </i>
    <i>
      <x v="68"/>
    </i>
    <i>
      <x v="79"/>
    </i>
    <i>
      <x v="74"/>
    </i>
    <i>
      <x v="57"/>
    </i>
    <i>
      <x v="45"/>
    </i>
    <i>
      <x v="58"/>
    </i>
    <i>
      <x v="44"/>
    </i>
    <i>
      <x v="82"/>
    </i>
    <i>
      <x v="76"/>
    </i>
    <i t="grand">
      <x/>
    </i>
  </rowItems>
  <colItems count="1">
    <i/>
  </colItems>
  <dataFields count="1">
    <dataField name="Sum of Actual SALE" fld="5" baseField="0" baseItem="0" numFmtId="165"/>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FD4CEC-417F-4440-AB8E-4F943BA1A17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4:R12" firstHeaderRow="1" firstDataRow="1" firstDataCol="1"/>
  <pivotFields count="13">
    <pivotField numFmtId="14"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showAll="0"/>
    <pivotField showAll="0"/>
    <pivotField numFmtId="165" showAll="0"/>
    <pivotField showAll="0"/>
    <pivotField dataField="1" numFmtId="165" showAll="0"/>
    <pivotField showAll="0"/>
    <pivotField axis="axisRow" showAll="0">
      <items count="9">
        <item x="5"/>
        <item x="6"/>
        <item x="4"/>
        <item x="2"/>
        <item x="3"/>
        <item x="1"/>
        <item x="0"/>
        <item m="1" x="7"/>
        <item t="default"/>
      </items>
    </pivotField>
    <pivotField showAll="0">
      <items count="13">
        <item x="0"/>
        <item x="1"/>
        <item x="2"/>
        <item x="3"/>
        <item x="4"/>
        <item x="5"/>
        <item x="6"/>
        <item x="7"/>
        <item x="8"/>
        <item x="9"/>
        <item x="10"/>
        <item x="11"/>
        <item t="default"/>
      </items>
    </pivotField>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t="grand">
      <x/>
    </i>
  </rowItems>
  <colItems count="1">
    <i/>
  </colItems>
  <dataFields count="1">
    <dataField name="Sum of Actual SALE" fld="5" baseField="0" baseItem="0" numFmtId="165"/>
  </dataFields>
  <chartFormats count="8">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7" count="1" selected="0">
            <x v="0"/>
          </reference>
        </references>
      </pivotArea>
    </chartFormat>
    <chartFormat chart="5" format="11">
      <pivotArea type="data" outline="0" fieldPosition="0">
        <references count="2">
          <reference field="4294967294" count="1" selected="0">
            <x v="0"/>
          </reference>
          <reference field="7" count="1" selected="0">
            <x v="1"/>
          </reference>
        </references>
      </pivotArea>
    </chartFormat>
    <chartFormat chart="5" format="12">
      <pivotArea type="data" outline="0" fieldPosition="0">
        <references count="2">
          <reference field="4294967294" count="1" selected="0">
            <x v="0"/>
          </reference>
          <reference field="7" count="1" selected="0">
            <x v="2"/>
          </reference>
        </references>
      </pivotArea>
    </chartFormat>
    <chartFormat chart="5" format="13">
      <pivotArea type="data" outline="0" fieldPosition="0">
        <references count="2">
          <reference field="4294967294" count="1" selected="0">
            <x v="0"/>
          </reference>
          <reference field="7" count="1" selected="0">
            <x v="3"/>
          </reference>
        </references>
      </pivotArea>
    </chartFormat>
    <chartFormat chart="5" format="14">
      <pivotArea type="data" outline="0" fieldPosition="0">
        <references count="2">
          <reference field="4294967294" count="1" selected="0">
            <x v="0"/>
          </reference>
          <reference field="7" count="1" selected="0">
            <x v="4"/>
          </reference>
        </references>
      </pivotArea>
    </chartFormat>
    <chartFormat chart="5" format="15">
      <pivotArea type="data" outline="0" fieldPosition="0">
        <references count="2">
          <reference field="4294967294" count="1" selected="0">
            <x v="0"/>
          </reference>
          <reference field="7" count="1" selected="0">
            <x v="5"/>
          </reference>
        </references>
      </pivotArea>
    </chartFormat>
    <chartFormat chart="5" format="16">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E594E2-72DA-4500-A257-D7B9BD23F594}" name="Total Customer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E4:AF44" firstHeaderRow="1" firstDataRow="1" firstDataCol="1"/>
  <pivotFields count="13">
    <pivotField numFmtId="14" subtotalTop="0"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axis="axisRow" subtotalTop="0" showAll="0">
      <items count="81">
        <item m="1" x="56"/>
        <item m="1" x="73"/>
        <item m="1" x="43"/>
        <item m="1" x="71"/>
        <item m="1" x="44"/>
        <item m="1" x="55"/>
        <item m="1" x="77"/>
        <item m="1" x="64"/>
        <item m="1" x="53"/>
        <item m="1" x="76"/>
        <item m="1" x="61"/>
        <item m="1" x="72"/>
        <item m="1" x="78"/>
        <item m="1" x="63"/>
        <item m="1" x="68"/>
        <item m="1" x="57"/>
        <item m="1" x="62"/>
        <item m="1" x="49"/>
        <item m="1" x="58"/>
        <item m="1" x="50"/>
        <item m="1" x="60"/>
        <item m="1" x="69"/>
        <item m="1" x="74"/>
        <item m="1" x="65"/>
        <item m="1" x="66"/>
        <item m="1" x="54"/>
        <item m="1" x="67"/>
        <item m="1" x="75"/>
        <item m="1" x="41"/>
        <item m="1" x="70"/>
        <item m="1" x="42"/>
        <item m="1" x="52"/>
        <item m="1" x="40"/>
        <item m="1" x="48"/>
        <item m="1" x="45"/>
        <item m="1" x="59"/>
        <item m="1" x="51"/>
        <item m="1" x="46"/>
        <item m="1" x="47"/>
        <item m="1" x="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ubtotalTop="0" showAll="0"/>
    <pivotField numFmtId="165" subtotalTop="0" showAll="0"/>
    <pivotField subtotalTop="0" showAll="0"/>
    <pivotField dataField="1" numFmtId="165" subtotalTop="0" showAll="0"/>
    <pivotField subtotalTop="0" showAll="0"/>
    <pivotField subtotalTop="0" showAll="0">
      <items count="9">
        <item x="5"/>
        <item x="6"/>
        <item x="4"/>
        <item x="2"/>
        <item x="3"/>
        <item x="1"/>
        <item x="0"/>
        <item m="1" x="7"/>
        <item t="default"/>
      </items>
    </pivotField>
    <pivotField subtotalTop="0" showAll="0">
      <items count="13">
        <item x="0"/>
        <item x="1"/>
        <item x="2"/>
        <item x="3"/>
        <item x="4"/>
        <item x="5"/>
        <item x="6"/>
        <item x="7"/>
        <item x="8"/>
        <item x="9"/>
        <item x="10"/>
        <item x="11"/>
        <item t="default"/>
      </items>
    </pivotField>
    <pivotField subtotalTop="0" showAll="0"/>
    <pivotField numFmtId="1" subtotalTop="0" showAll="0"/>
    <pivotField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ubtotalTop="0" showAll="0">
      <items count="15">
        <item x="0"/>
        <item x="1"/>
        <item x="2"/>
        <item x="3"/>
        <item x="4"/>
        <item x="5"/>
        <item x="6"/>
        <item x="7"/>
        <item x="8"/>
        <item x="9"/>
        <item x="10"/>
        <item x="11"/>
        <item x="12"/>
        <item x="13"/>
        <item t="default"/>
      </items>
    </pivotField>
  </pivotFields>
  <rowFields count="1">
    <field x="1"/>
  </rowFields>
  <rowItems count="40">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rowItems>
  <colItems count="1">
    <i/>
  </colItems>
  <dataFields count="1">
    <dataField name="Count of Actual SALE" fld="5"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8F91D3-4436-4A8F-BEDC-E8EBC5D607E8}" sourceName="Region">
  <pivotTables>
    <pivotTable tabId="9" name="PivotTable4"/>
    <pivotTable tabId="9" name="PivotTable1"/>
    <pivotTable tabId="9" name="PivotTable2"/>
    <pivotTable tabId="9" name="PivotTable3"/>
    <pivotTable tabId="9" name="PivotTable5"/>
    <pivotTable tabId="9" name="PivotTable6"/>
    <pivotTable tabId="9" name="PivotTable7"/>
    <pivotTable tabId="9" name="Total Customers"/>
    <pivotTable tabId="9" name="PivotTable8"/>
  </pivotTables>
  <data>
    <tabular pivotCacheId="611431830">
      <items count="8">
        <i x="5" s="1"/>
        <i x="6" s="1"/>
        <i x="4" s="1"/>
        <i x="2" s="1"/>
        <i x="3" s="1"/>
        <i x="1" s="1"/>
        <i x="0"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5CFCA88-9024-4C40-81A6-E593DED58FE9}" sourceName="Month">
  <pivotTables>
    <pivotTable tabId="9" name="PivotTable4"/>
    <pivotTable tabId="9" name="PivotTable1"/>
    <pivotTable tabId="9" name="PivotTable2"/>
    <pivotTable tabId="9" name="PivotTable3"/>
    <pivotTable tabId="9" name="PivotTable5"/>
    <pivotTable tabId="9" name="PivotTable6"/>
    <pivotTable tabId="9" name="PivotTable7"/>
    <pivotTable tabId="9" name="Total Customers"/>
    <pivotTable tabId="9" name="PivotTable8"/>
  </pivotTables>
  <data>
    <tabular pivotCacheId="611431830">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533F01-B687-4859-9695-5C720DD4B9F5}" cache="Slicer_Region" caption="Region" style="Sales Dashboard" rowHeight="234950"/>
  <slicer name="Month" xr10:uid="{DA85BC5D-6795-4699-8134-09EC47D1383A}" cache="Slicer_Month" caption="Month" style="Sales Dashbo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4:K837" totalsRowCount="1" headerRowDxfId="53" dataDxfId="51" totalsRowDxfId="49" headerRowBorderDxfId="52" tableBorderDxfId="50" totalsRowBorderDxfId="48">
  <autoFilter ref="A4:K836" xr:uid="{60351B27-4213-4B50-AF1E-6DD234ED1CD8}"/>
  <sortState xmlns:xlrd2="http://schemas.microsoft.com/office/spreadsheetml/2017/richdata2" ref="A5:E836">
    <sortCondition ref="A4:A836"/>
  </sortState>
  <tableColumns count="11">
    <tableColumn id="1" xr3:uid="{7E2D9722-C99A-4D79-AD8A-A4AF24D31B15}" name="DATE" totalsRowLabel="Total" dataDxfId="47" totalsRowDxfId="46"/>
    <tableColumn id="7" xr3:uid="{304B12AC-0228-4F17-A98A-1CAA20F1E66F}" name="CUSTOMER NAME" dataDxfId="45" totalsRowDxfId="44"/>
    <tableColumn id="4" xr3:uid="{ADAE3F09-9DD0-4996-A8A9-A560ACE428D0}" name="PRODUCT" dataDxfId="43" totalsRowDxfId="42"/>
    <tableColumn id="6" xr3:uid="{D84FA6C2-6488-41F6-803C-EF2DB5E1BB3C}" name="UNIT PRICE (R)" totalsRowFunction="average" dataDxfId="41" totalsRowDxfId="40" dataCellStyle="Comma"/>
    <tableColumn id="2" xr3:uid="{3D21C161-3520-4EEB-95C2-BC89A67F811B}" name="QUANTITY" totalsRowFunction="sum" dataDxfId="39" totalsRowDxfId="38"/>
    <tableColumn id="8" xr3:uid="{7A9127A3-AAAC-4EA8-9112-99521643443D}" name="Actual SALE" totalsRowFunction="average" dataDxfId="37" totalsRowDxfId="36">
      <calculatedColumnFormula>InputData[[#This Row],[QUANTITY]]*InputData[[#This Row],[UNIT PRICE (R)]]</calculatedColumnFormula>
    </tableColumn>
    <tableColumn id="9" xr3:uid="{82B2C76E-320C-4B8B-A9EE-42E1211055AF}" name="Country" dataDxfId="35" totalsRowDxfId="34">
      <calculatedColumnFormula>VLOOKUP(InputData[[#This Row],[CUSTOMER NAME]],Country[],2,0)</calculatedColumnFormula>
    </tableColumn>
    <tableColumn id="10" xr3:uid="{9F34F091-82BC-4D98-9F34-F9221AA6316D}" name="Region" dataDxfId="33" totalsRowDxfId="32">
      <calculatedColumnFormula>VLOOKUP(InputData[[#This Row],[CUSTOMER NAME]],Country[],3,0)</calculatedColumnFormula>
    </tableColumn>
    <tableColumn id="11" xr3:uid="{61509026-1C10-417A-B131-D9D41ED50CFB}" name="Month" dataDxfId="31" totalsRowDxfId="30">
      <calculatedColumnFormula>TEXT(InputData[[#This Row],[DATE]],"mmmm")</calculatedColumnFormula>
    </tableColumn>
    <tableColumn id="12" xr3:uid="{B080C3D3-B4DE-4C90-B8BC-0F97EDBFB527}" name="Day" dataDxfId="29" totalsRowDxfId="28">
      <calculatedColumnFormula>TEXT(InputData[[#This Row],[DATE]],"ddd")</calculatedColumnFormula>
    </tableColumn>
    <tableColumn id="13" xr3:uid="{470A5455-4951-4FF8-AFF8-BE023D0357C6}" name="Week" totalsRowFunction="average" dataDxfId="27" totalsRowDxfId="26">
      <calculatedColumnFormula>WEEKNUM(InputData[[#This Row],[DATE]])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81BC5FF-9E0E-44A2-B076-2326C06AAAA9}" name="Table5" displayName="Table5" ref="AF4:AF44" totalsRowShown="0" headerRowDxfId="25" dataDxfId="24">
  <autoFilter ref="AF4:AF44" xr:uid="{B81BC5FF-9E0E-44A2-B076-2326C06AAAA9}"/>
  <tableColumns count="1">
    <tableColumn id="1" xr3:uid="{83857C68-4B81-482F-B830-374DEB0B00BC}" name="Companies"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778A-F38D-48C8-BC78-94850B1D78DF}" name="TargetData" displayName="TargetData" ref="B3:H16" totalsRowCount="1" headerRowDxfId="22" dataDxfId="21" totalsRowDxfId="20" totalsRowBorderDxfId="19">
  <autoFilter ref="B3:H15" xr:uid="{1362778A-F38D-48C8-BC78-94850B1D78DF}"/>
  <sortState xmlns:xlrd2="http://schemas.microsoft.com/office/spreadsheetml/2017/richdata2" ref="B4:H15">
    <sortCondition ref="B3:B15"/>
  </sortState>
  <tableColumns count="7">
    <tableColumn id="3" xr3:uid="{F1AC905D-2819-4DF0-BD69-2F3448A5CB0B}" name="Month" totalsRowLabel="Total" dataDxfId="18" totalsRowDxfId="17"/>
    <tableColumn id="1" xr3:uid="{7E15E36E-1D29-4C1F-937B-F6ED2566A237}" name="Month Name" dataDxfId="16" totalsRowDxfId="15"/>
    <tableColumn id="2" xr3:uid="{16689519-8940-4E31-97FA-FB7C3607F6A5}" name="Target" totalsRowFunction="sum" dataDxfId="14" totalsRowDxfId="13"/>
    <tableColumn id="4" xr3:uid="{429EE09C-A395-4D25-A4D5-C8493699CE9B}" name="Actual" totalsRowFunction="sum" dataDxfId="12" totalsRowDxfId="11">
      <calculatedColumnFormula>VLOOKUP(TargetData[[#This Row],[Month Name]],Pivots!$D$5:$E$16,2,0)</calculatedColumnFormula>
    </tableColumn>
    <tableColumn id="5" xr3:uid="{BDF1A949-1DD8-4529-9BB4-74A050ACFDF0}" name="Below Target" dataDxfId="10" totalsRowDxfId="9">
      <calculatedColumnFormula>IF(TargetData[[#This Row],[Actual]]&lt;TargetData[[#This Row],[Target]],E4,"Above Target")</calculatedColumnFormula>
    </tableColumn>
    <tableColumn id="6" xr3:uid="{89022D99-25B9-45EE-B05D-A9E5C7955CC7}" name="Above Target" dataDxfId="8" totalsRowDxfId="7">
      <calculatedColumnFormula>IF(TargetData[[#This Row],[Actual]]&gt;TargetData[[#This Row],[Target]],TargetData[[#This Row],[Actual]],"Below Target")</calculatedColumnFormula>
    </tableColumn>
    <tableColumn id="7" xr3:uid="{6963E157-0B38-48B6-94A3-F55901C327C0}" name="Shortfall" totalsRowFunction="sum" dataDxfId="6" totalsRowDxfId="5">
      <calculatedColumnFormula>TargetData[[#This Row],[Target]]-TargetData[[#This Row],[Actual]]</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144DF-1CD9-4BC1-90A4-3B72BD201FB4}" name="Country" displayName="Country" ref="A1:C41" totalsRowShown="0" headerRowDxfId="4" headerRowBorderDxfId="3">
  <autoFilter ref="A1:C41" xr:uid="{A1484F8F-F990-476D-AC0A-22802092E6B5}"/>
  <sortState xmlns:xlrd2="http://schemas.microsoft.com/office/spreadsheetml/2017/richdata2" ref="A2:C41">
    <sortCondition ref="A1:A41"/>
  </sortState>
  <tableColumns count="3">
    <tableColumn id="1" xr3:uid="{19491024-23D3-4302-A629-AA327DBEA5BC}" name="Customer Name" dataDxfId="2"/>
    <tableColumn id="2" xr3:uid="{2667C84B-7A6D-49CB-99B7-D752F4C88E66}" name="Country" dataDxfId="1"/>
    <tableColumn id="3" xr3:uid="{8B1962F1-87DE-4B20-AD4E-433BA3B41D41}" name="Region"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3BBA6-DB6B-4105-AB82-F96A2C8F8E5C}">
  <sheetPr>
    <tabColor rgb="FF000000"/>
  </sheetPr>
  <dimension ref="U11:BY52"/>
  <sheetViews>
    <sheetView showGridLines="0" showRowColHeaders="0" tabSelected="1" zoomScale="40" zoomScaleNormal="40" workbookViewId="0">
      <selection activeCell="B1" sqref="B1"/>
    </sheetView>
  </sheetViews>
  <sheetFormatPr defaultRowHeight="14.4" x14ac:dyDescent="0.3"/>
  <cols>
    <col min="1" max="1" width="1.88671875" style="25" customWidth="1"/>
    <col min="2" max="5" width="8.88671875" style="25"/>
    <col min="6" max="6" width="8.88671875" style="25" customWidth="1"/>
    <col min="7" max="56" width="8.88671875" style="25"/>
    <col min="57" max="60" width="0" style="25" hidden="1" customWidth="1"/>
    <col min="61" max="61" width="16.44140625" style="25" hidden="1" customWidth="1"/>
    <col min="62" max="62" width="26.88671875" style="25" hidden="1" customWidth="1"/>
    <col min="63" max="63" width="14.21875" style="25" hidden="1" customWidth="1"/>
    <col min="64" max="69" width="0" style="25" hidden="1" customWidth="1"/>
    <col min="70" max="76" width="8.88671875" style="25"/>
    <col min="77" max="77" width="15.109375" style="25" bestFit="1" customWidth="1"/>
    <col min="78" max="16384" width="8.88671875" style="25"/>
  </cols>
  <sheetData>
    <row r="11" spans="62:77" x14ac:dyDescent="0.3">
      <c r="BJ11" s="25" t="str">
        <f>Pivots!AA11</f>
        <v>Stonebridge Commercial</v>
      </c>
      <c r="BK11" s="26">
        <f>Pivots!AB11</f>
        <v>60929.149999999994</v>
      </c>
    </row>
    <row r="12" spans="62:77" x14ac:dyDescent="0.3">
      <c r="BJ12" s="25" t="str">
        <f>Pivots!AA12</f>
        <v>Southcote Industries</v>
      </c>
      <c r="BK12" s="26">
        <f>Pivots!AB12</f>
        <v>45112.94999999999</v>
      </c>
    </row>
    <row r="13" spans="62:77" x14ac:dyDescent="0.3">
      <c r="BJ13" s="25" t="str">
        <f>Pivots!AA13</f>
        <v>Larkspur Retailers</v>
      </c>
      <c r="BK13" s="26">
        <f>Pivots!AB13</f>
        <v>43062.83</v>
      </c>
      <c r="BY13" s="26">
        <f>Pivots!A8</f>
        <v>984571.05999999924</v>
      </c>
    </row>
    <row r="14" spans="62:77" x14ac:dyDescent="0.3">
      <c r="BJ14" s="27"/>
      <c r="BK14" s="28"/>
    </row>
    <row r="16" spans="62:77" x14ac:dyDescent="0.3">
      <c r="BJ16" s="27" t="s">
        <v>276</v>
      </c>
    </row>
    <row r="17" spans="62:62" x14ac:dyDescent="0.3">
      <c r="BJ17" s="27">
        <f>Pivots!$AI$5</f>
        <v>40</v>
      </c>
    </row>
    <row r="18" spans="62:62" x14ac:dyDescent="0.3">
      <c r="BJ18" s="27"/>
    </row>
    <row r="20" spans="62:62" x14ac:dyDescent="0.3">
      <c r="BJ20" s="27"/>
    </row>
    <row r="22" spans="62:62" x14ac:dyDescent="0.3">
      <c r="BJ22" s="25">
        <f>COUNTA(BC22:BC61)</f>
        <v>0</v>
      </c>
    </row>
    <row r="23" spans="62:62" x14ac:dyDescent="0.3">
      <c r="BJ23" s="27" t="s">
        <v>141</v>
      </c>
    </row>
    <row r="24" spans="62:62" x14ac:dyDescent="0.3">
      <c r="BJ24" s="29">
        <f>Pivots!AL6</f>
        <v>18576.812452830174</v>
      </c>
    </row>
    <row r="29" spans="62:62" x14ac:dyDescent="0.3">
      <c r="BJ29" s="27" t="s">
        <v>142</v>
      </c>
    </row>
    <row r="30" spans="62:62" x14ac:dyDescent="0.3">
      <c r="BJ30" s="27">
        <f>Pivots!AL10</f>
        <v>53</v>
      </c>
    </row>
    <row r="52" spans="21:21" x14ac:dyDescent="0.3">
      <c r="U52" s="30"/>
    </row>
  </sheetData>
  <sheetProtection formatCells="0" insertHyperlinks="0" sort="0" autoFilter="0" pivotTables="0"/>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C014E-259D-4E81-A040-34E9270B9462}">
  <sheetPr>
    <tabColor theme="5"/>
  </sheetPr>
  <dimension ref="B1:AB55"/>
  <sheetViews>
    <sheetView showGridLines="0" showRowColHeaders="0" topLeftCell="A9" zoomScale="70" zoomScaleNormal="70" workbookViewId="0">
      <selection activeCell="AD28" sqref="AD28:AE28"/>
    </sheetView>
  </sheetViews>
  <sheetFormatPr defaultRowHeight="14.4" x14ac:dyDescent="0.3"/>
  <cols>
    <col min="1" max="1" width="0.44140625" customWidth="1"/>
    <col min="2" max="2" width="0.77734375" customWidth="1"/>
  </cols>
  <sheetData>
    <row r="1" spans="2:28" ht="12.6" customHeight="1" x14ac:dyDescent="0.3"/>
    <row r="2" spans="2:28" ht="14.4" customHeight="1" x14ac:dyDescent="0.3">
      <c r="C2" s="64" t="s">
        <v>273</v>
      </c>
      <c r="D2" s="64"/>
      <c r="E2" s="64"/>
      <c r="F2" s="64"/>
      <c r="G2" s="64"/>
      <c r="H2" s="64"/>
      <c r="I2" s="64"/>
      <c r="J2" s="64"/>
      <c r="K2" s="64"/>
      <c r="L2" s="64"/>
      <c r="M2" s="64"/>
      <c r="N2" s="64"/>
      <c r="O2" s="64"/>
      <c r="P2" s="64"/>
      <c r="Q2" s="64"/>
      <c r="R2" s="64"/>
      <c r="S2" s="64"/>
      <c r="T2" s="64"/>
      <c r="U2" s="64"/>
      <c r="V2" s="64"/>
      <c r="W2" s="64"/>
      <c r="X2" s="64"/>
      <c r="Y2" s="64"/>
      <c r="Z2" s="64"/>
      <c r="AA2" s="64"/>
      <c r="AB2" s="64"/>
    </row>
    <row r="3" spans="2:28" ht="14.4" customHeight="1" x14ac:dyDescent="0.3">
      <c r="C3" s="64"/>
      <c r="D3" s="64"/>
      <c r="E3" s="64"/>
      <c r="F3" s="64"/>
      <c r="G3" s="64"/>
      <c r="H3" s="64"/>
      <c r="I3" s="64"/>
      <c r="J3" s="64"/>
      <c r="K3" s="64"/>
      <c r="L3" s="64"/>
      <c r="M3" s="64"/>
      <c r="N3" s="64"/>
      <c r="O3" s="64"/>
      <c r="P3" s="64"/>
      <c r="Q3" s="64"/>
      <c r="R3" s="64"/>
      <c r="S3" s="64"/>
      <c r="T3" s="64"/>
      <c r="U3" s="64"/>
      <c r="V3" s="64"/>
      <c r="W3" s="64"/>
      <c r="X3" s="64"/>
      <c r="Y3" s="64"/>
      <c r="Z3" s="64"/>
      <c r="AA3" s="64"/>
      <c r="AB3" s="64"/>
    </row>
    <row r="4" spans="2:28" ht="14.4" customHeight="1" x14ac:dyDescent="0.3">
      <c r="C4" s="62" t="s">
        <v>296</v>
      </c>
      <c r="D4" s="63"/>
      <c r="E4" s="63"/>
      <c r="F4" s="63"/>
      <c r="G4" s="63"/>
      <c r="H4" s="63"/>
      <c r="I4" s="63"/>
      <c r="J4" s="63"/>
      <c r="K4" s="63"/>
      <c r="L4" s="63"/>
      <c r="M4" s="63"/>
      <c r="N4" s="63"/>
      <c r="O4" s="63"/>
      <c r="P4" s="63"/>
      <c r="Q4" s="63"/>
      <c r="R4" s="63"/>
      <c r="S4" s="63"/>
      <c r="T4" s="63"/>
      <c r="U4" s="63"/>
      <c r="V4" s="63"/>
      <c r="W4" s="63"/>
      <c r="X4" s="63"/>
      <c r="Y4" s="63"/>
      <c r="Z4" s="63"/>
      <c r="AA4" s="63"/>
      <c r="AB4" s="63"/>
    </row>
    <row r="5" spans="2:28" ht="18" x14ac:dyDescent="0.3">
      <c r="B5" s="31"/>
      <c r="C5" s="63"/>
      <c r="D5" s="63"/>
      <c r="E5" s="63"/>
      <c r="F5" s="63"/>
      <c r="G5" s="63"/>
      <c r="H5" s="63"/>
      <c r="I5" s="63"/>
      <c r="J5" s="63"/>
      <c r="K5" s="63"/>
      <c r="L5" s="63"/>
      <c r="M5" s="63"/>
      <c r="N5" s="63"/>
      <c r="O5" s="63"/>
      <c r="P5" s="63"/>
      <c r="Q5" s="63"/>
      <c r="R5" s="63"/>
      <c r="S5" s="63"/>
      <c r="T5" s="63"/>
      <c r="U5" s="63"/>
      <c r="V5" s="63"/>
      <c r="W5" s="63"/>
      <c r="X5" s="63"/>
      <c r="Y5" s="63"/>
      <c r="Z5" s="63"/>
      <c r="AA5" s="63"/>
      <c r="AB5" s="63"/>
    </row>
    <row r="6" spans="2:28" ht="21" customHeight="1" x14ac:dyDescent="0.3">
      <c r="B6" s="31"/>
      <c r="C6" s="63"/>
      <c r="D6" s="63"/>
      <c r="E6" s="63"/>
      <c r="F6" s="63"/>
      <c r="G6" s="63"/>
      <c r="H6" s="63"/>
      <c r="I6" s="63"/>
      <c r="J6" s="63"/>
      <c r="K6" s="63"/>
      <c r="L6" s="63"/>
      <c r="M6" s="63"/>
      <c r="N6" s="63"/>
      <c r="O6" s="63"/>
      <c r="P6" s="63"/>
      <c r="Q6" s="63"/>
      <c r="R6" s="63"/>
      <c r="S6" s="63"/>
      <c r="T6" s="63"/>
      <c r="U6" s="63"/>
      <c r="V6" s="63"/>
      <c r="W6" s="63"/>
      <c r="X6" s="63"/>
      <c r="Y6" s="63"/>
      <c r="Z6" s="63"/>
      <c r="AA6" s="63"/>
      <c r="AB6" s="63"/>
    </row>
    <row r="7" spans="2:28" ht="14.4" customHeight="1" x14ac:dyDescent="0.3">
      <c r="C7" s="61" t="s">
        <v>302</v>
      </c>
      <c r="D7" s="61"/>
      <c r="E7" s="61"/>
      <c r="F7" s="61"/>
      <c r="G7" s="61"/>
      <c r="H7" s="61"/>
      <c r="I7" s="61"/>
      <c r="J7" s="61"/>
      <c r="K7" s="61"/>
      <c r="L7" s="61"/>
      <c r="M7" s="61"/>
      <c r="N7" s="61"/>
      <c r="O7" s="61"/>
      <c r="P7" s="61"/>
      <c r="Q7" s="61"/>
      <c r="R7" s="61"/>
      <c r="S7" s="61"/>
      <c r="T7" s="61"/>
      <c r="U7" s="61"/>
      <c r="V7" s="61"/>
      <c r="W7" s="61"/>
      <c r="X7" s="61"/>
      <c r="Y7" s="61"/>
      <c r="Z7" s="61"/>
      <c r="AA7" s="61"/>
      <c r="AB7" s="61"/>
    </row>
    <row r="8" spans="2:28" x14ac:dyDescent="0.3">
      <c r="B8" s="32"/>
      <c r="C8" s="61"/>
      <c r="D8" s="61"/>
      <c r="E8" s="61"/>
      <c r="F8" s="61"/>
      <c r="G8" s="61"/>
      <c r="H8" s="61"/>
      <c r="I8" s="61"/>
      <c r="J8" s="61"/>
      <c r="K8" s="61"/>
      <c r="L8" s="61"/>
      <c r="M8" s="61"/>
      <c r="N8" s="61"/>
      <c r="O8" s="61"/>
      <c r="P8" s="61"/>
      <c r="Q8" s="61"/>
      <c r="R8" s="61"/>
      <c r="S8" s="61"/>
      <c r="T8" s="61"/>
      <c r="U8" s="61"/>
      <c r="V8" s="61"/>
      <c r="W8" s="61"/>
      <c r="X8" s="61"/>
      <c r="Y8" s="61"/>
      <c r="Z8" s="61"/>
      <c r="AA8" s="61"/>
      <c r="AB8" s="61"/>
    </row>
    <row r="9" spans="2:28" x14ac:dyDescent="0.3">
      <c r="B9" s="32"/>
      <c r="C9" s="61"/>
      <c r="D9" s="61"/>
      <c r="E9" s="61"/>
      <c r="F9" s="61"/>
      <c r="G9" s="61"/>
      <c r="H9" s="61"/>
      <c r="I9" s="61"/>
      <c r="J9" s="61"/>
      <c r="K9" s="61"/>
      <c r="L9" s="61"/>
      <c r="M9" s="61"/>
      <c r="N9" s="61"/>
      <c r="O9" s="61"/>
      <c r="P9" s="61"/>
      <c r="Q9" s="61"/>
      <c r="R9" s="61"/>
      <c r="S9" s="61"/>
      <c r="T9" s="61"/>
      <c r="U9" s="61"/>
      <c r="V9" s="61"/>
      <c r="W9" s="61"/>
      <c r="X9" s="61"/>
      <c r="Y9" s="61"/>
      <c r="Z9" s="61"/>
      <c r="AA9" s="61"/>
      <c r="AB9" s="61"/>
    </row>
    <row r="10" spans="2:28" x14ac:dyDescent="0.3">
      <c r="B10" s="32"/>
      <c r="C10" s="61"/>
      <c r="D10" s="61"/>
      <c r="E10" s="61"/>
      <c r="F10" s="61"/>
      <c r="G10" s="61"/>
      <c r="H10" s="61"/>
      <c r="I10" s="61"/>
      <c r="J10" s="61"/>
      <c r="K10" s="61"/>
      <c r="L10" s="61"/>
      <c r="M10" s="61"/>
      <c r="N10" s="61"/>
      <c r="O10" s="61"/>
      <c r="P10" s="61"/>
      <c r="Q10" s="61"/>
      <c r="R10" s="61"/>
      <c r="S10" s="61"/>
      <c r="T10" s="61"/>
      <c r="U10" s="61"/>
      <c r="V10" s="61"/>
      <c r="W10" s="61"/>
      <c r="X10" s="61"/>
      <c r="Y10" s="61"/>
      <c r="Z10" s="61"/>
      <c r="AA10" s="61"/>
      <c r="AB10" s="61"/>
    </row>
    <row r="11" spans="2:28" x14ac:dyDescent="0.3">
      <c r="C11" s="61" t="s">
        <v>290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row>
    <row r="12" spans="2:28" x14ac:dyDescent="0.3">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row>
    <row r="13" spans="2:28" x14ac:dyDescent="0.3">
      <c r="C13" s="61"/>
      <c r="D13" s="61"/>
      <c r="E13" s="61"/>
      <c r="F13" s="61"/>
      <c r="G13" s="61"/>
      <c r="H13" s="61"/>
      <c r="I13" s="61"/>
      <c r="J13" s="61"/>
      <c r="K13" s="61"/>
      <c r="L13" s="61"/>
      <c r="M13" s="61"/>
      <c r="N13" s="61"/>
      <c r="O13" s="61"/>
      <c r="P13" s="61"/>
      <c r="Q13" s="61"/>
      <c r="R13" s="61"/>
      <c r="S13" s="61"/>
      <c r="T13" s="61"/>
      <c r="U13" s="61"/>
      <c r="V13" s="61"/>
      <c r="W13" s="61"/>
      <c r="X13" s="61"/>
      <c r="Y13" s="61"/>
      <c r="Z13" s="61"/>
      <c r="AA13" s="61"/>
      <c r="AB13" s="61"/>
    </row>
    <row r="14" spans="2:28" x14ac:dyDescent="0.3">
      <c r="C14" s="61" t="s">
        <v>297</v>
      </c>
      <c r="D14" s="61"/>
      <c r="E14" s="61"/>
      <c r="F14" s="61"/>
      <c r="G14" s="61"/>
      <c r="H14" s="61"/>
      <c r="I14" s="61"/>
      <c r="J14" s="61"/>
      <c r="K14" s="61"/>
      <c r="L14" s="61"/>
      <c r="M14" s="61"/>
      <c r="N14" s="61"/>
      <c r="O14" s="61"/>
      <c r="P14" s="61"/>
      <c r="Q14" s="61"/>
      <c r="R14" s="61"/>
      <c r="S14" s="61"/>
      <c r="T14" s="61"/>
      <c r="U14" s="61"/>
      <c r="V14" s="61"/>
      <c r="W14" s="61"/>
      <c r="X14" s="61"/>
      <c r="Y14" s="61"/>
      <c r="Z14" s="61"/>
      <c r="AA14" s="61"/>
      <c r="AB14" s="61"/>
    </row>
    <row r="15" spans="2:28" x14ac:dyDescent="0.3">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row>
    <row r="16" spans="2:28" x14ac:dyDescent="0.3">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row>
    <row r="17" spans="2:28" ht="9" customHeight="1" x14ac:dyDescent="0.3">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row>
    <row r="18" spans="2:28" ht="14.4" customHeight="1" x14ac:dyDescent="0.3">
      <c r="C18" s="61" t="s">
        <v>291</v>
      </c>
      <c r="D18" s="61"/>
      <c r="E18" s="61"/>
      <c r="F18" s="61"/>
      <c r="G18" s="61"/>
      <c r="H18" s="61"/>
      <c r="I18" s="61"/>
      <c r="J18" s="61"/>
      <c r="K18" s="61"/>
      <c r="L18" s="61"/>
      <c r="M18" s="61"/>
      <c r="N18" s="61"/>
      <c r="O18" s="61"/>
      <c r="P18" s="61"/>
      <c r="Q18" s="61"/>
      <c r="R18" s="61"/>
      <c r="S18" s="61"/>
      <c r="T18" s="61"/>
      <c r="U18" s="61"/>
      <c r="V18" s="61"/>
      <c r="W18" s="61"/>
      <c r="X18" s="61"/>
      <c r="Y18" s="61"/>
      <c r="Z18" s="61"/>
      <c r="AA18" s="61"/>
      <c r="AB18" s="61"/>
    </row>
    <row r="19" spans="2:28" x14ac:dyDescent="0.3">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row>
    <row r="20" spans="2:28" x14ac:dyDescent="0.3">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row>
    <row r="21" spans="2:28" ht="6.6" customHeight="1" x14ac:dyDescent="0.3">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row>
    <row r="22" spans="2:28" ht="18" customHeight="1" x14ac:dyDescent="0.3">
      <c r="B22" s="32"/>
      <c r="C22" s="61" t="s">
        <v>292</v>
      </c>
      <c r="D22" s="61"/>
      <c r="E22" s="61"/>
      <c r="F22" s="61"/>
      <c r="G22" s="61"/>
      <c r="H22" s="61"/>
      <c r="I22" s="61"/>
      <c r="J22" s="61"/>
      <c r="K22" s="61"/>
      <c r="L22" s="61"/>
      <c r="M22" s="61"/>
      <c r="N22" s="61"/>
      <c r="O22" s="61"/>
      <c r="P22" s="61"/>
      <c r="Q22" s="61"/>
      <c r="R22" s="61"/>
      <c r="S22" s="61"/>
      <c r="T22" s="61"/>
      <c r="U22" s="61"/>
      <c r="V22" s="61"/>
      <c r="W22" s="61"/>
      <c r="X22" s="61"/>
      <c r="Y22" s="61"/>
      <c r="Z22" s="61"/>
      <c r="AA22" s="61"/>
      <c r="AB22" s="61"/>
    </row>
    <row r="23" spans="2:28" x14ac:dyDescent="0.3">
      <c r="B23" s="32"/>
      <c r="C23" s="61"/>
      <c r="D23" s="61"/>
      <c r="E23" s="61"/>
      <c r="F23" s="61"/>
      <c r="G23" s="61"/>
      <c r="H23" s="61"/>
      <c r="I23" s="61"/>
      <c r="J23" s="61"/>
      <c r="K23" s="61"/>
      <c r="L23" s="61"/>
      <c r="M23" s="61"/>
      <c r="N23" s="61"/>
      <c r="O23" s="61"/>
      <c r="P23" s="61"/>
      <c r="Q23" s="61"/>
      <c r="R23" s="61"/>
      <c r="S23" s="61"/>
      <c r="T23" s="61"/>
      <c r="U23" s="61"/>
      <c r="V23" s="61"/>
      <c r="W23" s="61"/>
      <c r="X23" s="61"/>
      <c r="Y23" s="61"/>
      <c r="Z23" s="61"/>
      <c r="AA23" s="61"/>
      <c r="AB23" s="61"/>
    </row>
    <row r="24" spans="2:28" x14ac:dyDescent="0.3">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row>
    <row r="25" spans="2:28" ht="14.4" customHeight="1" x14ac:dyDescent="0.3">
      <c r="C25" s="61" t="s">
        <v>293</v>
      </c>
      <c r="D25" s="61"/>
      <c r="E25" s="61"/>
      <c r="F25" s="61"/>
      <c r="G25" s="61"/>
      <c r="H25" s="61"/>
      <c r="I25" s="61"/>
      <c r="J25" s="61"/>
      <c r="K25" s="61"/>
      <c r="L25" s="61"/>
      <c r="M25" s="61"/>
      <c r="N25" s="61"/>
      <c r="O25" s="61"/>
      <c r="P25" s="61"/>
      <c r="Q25" s="61"/>
      <c r="R25" s="61"/>
      <c r="S25" s="61"/>
      <c r="T25" s="61"/>
      <c r="U25" s="61"/>
      <c r="V25" s="61"/>
      <c r="W25" s="61"/>
      <c r="X25" s="61"/>
      <c r="Y25" s="61"/>
      <c r="Z25" s="61"/>
      <c r="AA25" s="61"/>
      <c r="AB25" s="61"/>
    </row>
    <row r="26" spans="2:28" x14ac:dyDescent="0.3">
      <c r="C26" s="61"/>
      <c r="D26" s="61"/>
      <c r="E26" s="61"/>
      <c r="F26" s="61"/>
      <c r="G26" s="61"/>
      <c r="H26" s="61"/>
      <c r="I26" s="61"/>
      <c r="J26" s="61"/>
      <c r="K26" s="61"/>
      <c r="L26" s="61"/>
      <c r="M26" s="61"/>
      <c r="N26" s="61"/>
      <c r="O26" s="61"/>
      <c r="P26" s="61"/>
      <c r="Q26" s="61"/>
      <c r="R26" s="61"/>
      <c r="S26" s="61"/>
      <c r="T26" s="61"/>
      <c r="U26" s="61"/>
      <c r="V26" s="61"/>
      <c r="W26" s="61"/>
      <c r="X26" s="61"/>
      <c r="Y26" s="61"/>
      <c r="Z26" s="61"/>
      <c r="AA26" s="61"/>
      <c r="AB26" s="61"/>
    </row>
    <row r="27" spans="2:28" x14ac:dyDescent="0.3">
      <c r="B27" s="32"/>
      <c r="C27" s="61"/>
      <c r="D27" s="61"/>
      <c r="E27" s="61"/>
      <c r="F27" s="61"/>
      <c r="G27" s="61"/>
      <c r="H27" s="61"/>
      <c r="I27" s="61"/>
      <c r="J27" s="61"/>
      <c r="K27" s="61"/>
      <c r="L27" s="61"/>
      <c r="M27" s="61"/>
      <c r="N27" s="61"/>
      <c r="O27" s="61"/>
      <c r="P27" s="61"/>
      <c r="Q27" s="61"/>
      <c r="R27" s="61"/>
      <c r="S27" s="61"/>
      <c r="T27" s="61"/>
      <c r="U27" s="61"/>
      <c r="V27" s="61"/>
      <c r="W27" s="61"/>
      <c r="X27" s="61"/>
      <c r="Y27" s="61"/>
      <c r="Z27" s="61"/>
      <c r="AA27" s="61"/>
      <c r="AB27" s="61"/>
    </row>
    <row r="29" spans="2:28" ht="14.4" customHeight="1" x14ac:dyDescent="0.3">
      <c r="C29" s="64" t="s">
        <v>274</v>
      </c>
      <c r="D29" s="64"/>
      <c r="E29" s="64"/>
      <c r="F29" s="64"/>
      <c r="G29" s="64"/>
      <c r="H29" s="64"/>
      <c r="I29" s="64"/>
      <c r="J29" s="64"/>
      <c r="K29" s="64"/>
      <c r="L29" s="64"/>
      <c r="M29" s="64"/>
      <c r="N29" s="64"/>
      <c r="O29" s="64"/>
      <c r="P29" s="64"/>
      <c r="Q29" s="64"/>
      <c r="R29" s="64"/>
      <c r="S29" s="64"/>
      <c r="T29" s="64"/>
      <c r="U29" s="64"/>
      <c r="V29" s="64"/>
      <c r="W29" s="64"/>
      <c r="X29" s="64"/>
      <c r="Y29" s="64"/>
      <c r="Z29" s="64"/>
      <c r="AA29" s="64"/>
      <c r="AB29" s="64"/>
    </row>
    <row r="30" spans="2:28" ht="14.4" customHeight="1" x14ac:dyDescent="0.3">
      <c r="B30" s="32"/>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row>
    <row r="31" spans="2:28" ht="14.4" customHeight="1" x14ac:dyDescent="0.3">
      <c r="C31" s="61" t="s">
        <v>295</v>
      </c>
      <c r="D31" s="61"/>
      <c r="E31" s="61"/>
      <c r="F31" s="61"/>
      <c r="G31" s="61"/>
      <c r="H31" s="61"/>
      <c r="I31" s="61"/>
      <c r="J31" s="61"/>
      <c r="K31" s="61"/>
      <c r="L31" s="61"/>
      <c r="M31" s="61"/>
      <c r="N31" s="61"/>
      <c r="O31" s="61"/>
      <c r="P31" s="61"/>
      <c r="Q31" s="61"/>
      <c r="R31" s="61"/>
      <c r="S31" s="61"/>
      <c r="T31" s="61"/>
      <c r="U31" s="61"/>
      <c r="V31" s="61"/>
      <c r="W31" s="61"/>
      <c r="X31" s="61"/>
      <c r="Y31" s="61"/>
      <c r="Z31" s="61"/>
      <c r="AA31" s="61"/>
      <c r="AB31" s="61"/>
    </row>
    <row r="32" spans="2:28" x14ac:dyDescent="0.3">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row>
    <row r="33" spans="2:28" ht="12" customHeight="1" x14ac:dyDescent="0.3">
      <c r="C33" s="61"/>
      <c r="D33" s="61"/>
      <c r="E33" s="61"/>
      <c r="F33" s="61"/>
      <c r="G33" s="61"/>
      <c r="H33" s="61"/>
      <c r="I33" s="61"/>
      <c r="J33" s="61"/>
      <c r="K33" s="61"/>
      <c r="L33" s="61"/>
      <c r="M33" s="61"/>
      <c r="N33" s="61"/>
      <c r="O33" s="61"/>
      <c r="P33" s="61"/>
      <c r="Q33" s="61"/>
      <c r="R33" s="61"/>
      <c r="S33" s="61"/>
      <c r="T33" s="61"/>
      <c r="U33" s="61"/>
      <c r="V33" s="61"/>
      <c r="W33" s="61"/>
      <c r="X33" s="61"/>
      <c r="Y33" s="61"/>
      <c r="Z33" s="61"/>
      <c r="AA33" s="61"/>
      <c r="AB33" s="61"/>
    </row>
    <row r="34" spans="2:28" ht="5.4" customHeight="1" x14ac:dyDescent="0.3">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row>
    <row r="35" spans="2:28" ht="14.4" customHeight="1" x14ac:dyDescent="0.3">
      <c r="B35" s="32"/>
      <c r="C35" s="61" t="s">
        <v>294</v>
      </c>
      <c r="D35" s="61"/>
      <c r="E35" s="61"/>
      <c r="F35" s="61"/>
      <c r="G35" s="61"/>
      <c r="H35" s="61"/>
      <c r="I35" s="61"/>
      <c r="J35" s="61"/>
      <c r="K35" s="61"/>
      <c r="L35" s="61"/>
      <c r="M35" s="61"/>
      <c r="N35" s="61"/>
      <c r="O35" s="61"/>
      <c r="P35" s="61"/>
      <c r="Q35" s="61"/>
      <c r="R35" s="61"/>
      <c r="S35" s="61"/>
      <c r="T35" s="61"/>
      <c r="U35" s="61"/>
      <c r="V35" s="61"/>
      <c r="W35" s="61"/>
      <c r="X35" s="61"/>
      <c r="Y35" s="61"/>
      <c r="Z35" s="61"/>
      <c r="AA35" s="61"/>
      <c r="AB35" s="61"/>
    </row>
    <row r="36" spans="2:28" x14ac:dyDescent="0.3">
      <c r="B36" s="32"/>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row>
    <row r="37" spans="2:28" x14ac:dyDescent="0.3">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row>
    <row r="38" spans="2:28" ht="7.2" customHeight="1" x14ac:dyDescent="0.3">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row>
    <row r="39" spans="2:28" ht="6.6" customHeight="1" x14ac:dyDescent="0.3">
      <c r="C39" s="61" t="s">
        <v>298</v>
      </c>
      <c r="D39" s="61"/>
      <c r="E39" s="61"/>
      <c r="F39" s="61"/>
      <c r="G39" s="61"/>
      <c r="H39" s="61"/>
      <c r="I39" s="61"/>
      <c r="J39" s="61"/>
      <c r="K39" s="61"/>
      <c r="L39" s="61"/>
      <c r="M39" s="61"/>
      <c r="N39" s="61"/>
      <c r="O39" s="61"/>
      <c r="P39" s="61"/>
      <c r="Q39" s="61"/>
      <c r="R39" s="61"/>
      <c r="S39" s="61"/>
      <c r="T39" s="61"/>
      <c r="U39" s="61"/>
      <c r="V39" s="61"/>
      <c r="W39" s="61"/>
      <c r="X39" s="61"/>
      <c r="Y39" s="61"/>
      <c r="Z39" s="61"/>
      <c r="AA39" s="61"/>
      <c r="AB39" s="61"/>
    </row>
    <row r="40" spans="2:28" x14ac:dyDescent="0.3">
      <c r="C40" s="61"/>
      <c r="D40" s="61"/>
      <c r="E40" s="61"/>
      <c r="F40" s="61"/>
      <c r="G40" s="61"/>
      <c r="H40" s="61"/>
      <c r="I40" s="61"/>
      <c r="J40" s="61"/>
      <c r="K40" s="61"/>
      <c r="L40" s="61"/>
      <c r="M40" s="61"/>
      <c r="N40" s="61"/>
      <c r="O40" s="61"/>
      <c r="P40" s="61"/>
      <c r="Q40" s="61"/>
      <c r="R40" s="61"/>
      <c r="S40" s="61"/>
      <c r="T40" s="61"/>
      <c r="U40" s="61"/>
      <c r="V40" s="61"/>
      <c r="W40" s="61"/>
      <c r="X40" s="61"/>
      <c r="Y40" s="61"/>
      <c r="Z40" s="61"/>
      <c r="AA40" s="61"/>
      <c r="AB40" s="61"/>
    </row>
    <row r="41" spans="2:28" x14ac:dyDescent="0.3">
      <c r="B41" s="32"/>
      <c r="C41" s="61"/>
      <c r="D41" s="61"/>
      <c r="E41" s="61"/>
      <c r="F41" s="61"/>
      <c r="G41" s="61"/>
      <c r="H41" s="61"/>
      <c r="I41" s="61"/>
      <c r="J41" s="61"/>
      <c r="K41" s="61"/>
      <c r="L41" s="61"/>
      <c r="M41" s="61"/>
      <c r="N41" s="61"/>
      <c r="O41" s="61"/>
      <c r="P41" s="61"/>
      <c r="Q41" s="61"/>
      <c r="R41" s="61"/>
      <c r="S41" s="61"/>
      <c r="T41" s="61"/>
      <c r="U41" s="61"/>
      <c r="V41" s="61"/>
      <c r="W41" s="61"/>
      <c r="X41" s="61"/>
      <c r="Y41" s="61"/>
      <c r="Z41" s="61"/>
      <c r="AA41" s="61"/>
      <c r="AB41" s="61"/>
    </row>
    <row r="42" spans="2:28" x14ac:dyDescent="0.3">
      <c r="B42" s="32"/>
      <c r="C42" s="61"/>
      <c r="D42" s="61"/>
      <c r="E42" s="61"/>
      <c r="F42" s="61"/>
      <c r="G42" s="61"/>
      <c r="H42" s="61"/>
      <c r="I42" s="61"/>
      <c r="J42" s="61"/>
      <c r="K42" s="61"/>
      <c r="L42" s="61"/>
      <c r="M42" s="61"/>
      <c r="N42" s="61"/>
      <c r="O42" s="61"/>
      <c r="P42" s="61"/>
      <c r="Q42" s="61"/>
      <c r="R42" s="61"/>
      <c r="S42" s="61"/>
      <c r="T42" s="61"/>
      <c r="U42" s="61"/>
      <c r="V42" s="61"/>
      <c r="W42" s="61"/>
      <c r="X42" s="61"/>
      <c r="Y42" s="61"/>
      <c r="Z42" s="61"/>
      <c r="AA42" s="61"/>
      <c r="AB42" s="61"/>
    </row>
    <row r="43" spans="2:28" ht="7.2" customHeight="1" x14ac:dyDescent="0.3">
      <c r="B43" s="32"/>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row>
    <row r="44" spans="2:28" ht="9.6" customHeight="1" x14ac:dyDescent="0.3">
      <c r="C44" s="61" t="s">
        <v>299</v>
      </c>
      <c r="D44" s="61"/>
      <c r="E44" s="61"/>
      <c r="F44" s="61"/>
      <c r="G44" s="61"/>
      <c r="H44" s="61"/>
      <c r="I44" s="61"/>
      <c r="J44" s="61"/>
      <c r="K44" s="61"/>
      <c r="L44" s="61"/>
      <c r="M44" s="61"/>
      <c r="N44" s="61"/>
      <c r="O44" s="61"/>
      <c r="P44" s="61"/>
      <c r="Q44" s="61"/>
      <c r="R44" s="61"/>
      <c r="S44" s="61"/>
      <c r="T44" s="61"/>
      <c r="U44" s="61"/>
      <c r="V44" s="61"/>
      <c r="W44" s="61"/>
      <c r="X44" s="61"/>
      <c r="Y44" s="61"/>
      <c r="Z44" s="61"/>
      <c r="AA44" s="61"/>
      <c r="AB44" s="61"/>
    </row>
    <row r="45" spans="2:28" x14ac:dyDescent="0.3">
      <c r="C45" s="61"/>
      <c r="D45" s="61"/>
      <c r="E45" s="61"/>
      <c r="F45" s="61"/>
      <c r="G45" s="61"/>
      <c r="H45" s="61"/>
      <c r="I45" s="61"/>
      <c r="J45" s="61"/>
      <c r="K45" s="61"/>
      <c r="L45" s="61"/>
      <c r="M45" s="61"/>
      <c r="N45" s="61"/>
      <c r="O45" s="61"/>
      <c r="P45" s="61"/>
      <c r="Q45" s="61"/>
      <c r="R45" s="61"/>
      <c r="S45" s="61"/>
      <c r="T45" s="61"/>
      <c r="U45" s="61"/>
      <c r="V45" s="61"/>
      <c r="W45" s="61"/>
      <c r="X45" s="61"/>
      <c r="Y45" s="61"/>
      <c r="Z45" s="61"/>
      <c r="AA45" s="61"/>
      <c r="AB45" s="61"/>
    </row>
    <row r="46" spans="2:28" ht="18.600000000000001" customHeight="1" x14ac:dyDescent="0.3">
      <c r="C46" s="61"/>
      <c r="D46" s="61"/>
      <c r="E46" s="61"/>
      <c r="F46" s="61"/>
      <c r="G46" s="61"/>
      <c r="H46" s="61"/>
      <c r="I46" s="61"/>
      <c r="J46" s="61"/>
      <c r="K46" s="61"/>
      <c r="L46" s="61"/>
      <c r="M46" s="61"/>
      <c r="N46" s="61"/>
      <c r="O46" s="61"/>
      <c r="P46" s="61"/>
      <c r="Q46" s="61"/>
      <c r="R46" s="61"/>
      <c r="S46" s="61"/>
      <c r="T46" s="61"/>
      <c r="U46" s="61"/>
      <c r="V46" s="61"/>
      <c r="W46" s="61"/>
      <c r="X46" s="61"/>
      <c r="Y46" s="61"/>
      <c r="Z46" s="61"/>
      <c r="AA46" s="61"/>
      <c r="AB46" s="61"/>
    </row>
    <row r="47" spans="2:28" ht="17.399999999999999" customHeight="1" x14ac:dyDescent="0.3">
      <c r="B47" s="31"/>
      <c r="C47" s="61" t="s">
        <v>300</v>
      </c>
      <c r="D47" s="61"/>
      <c r="E47" s="61"/>
      <c r="F47" s="61"/>
      <c r="G47" s="61"/>
      <c r="H47" s="61"/>
      <c r="I47" s="61"/>
      <c r="J47" s="61"/>
      <c r="K47" s="61"/>
      <c r="L47" s="61"/>
      <c r="M47" s="61"/>
      <c r="N47" s="61"/>
      <c r="O47" s="61"/>
      <c r="P47" s="61"/>
      <c r="Q47" s="61"/>
      <c r="R47" s="61"/>
      <c r="S47" s="61"/>
      <c r="T47" s="61"/>
      <c r="U47" s="61"/>
      <c r="V47" s="61"/>
      <c r="W47" s="61"/>
      <c r="X47" s="61"/>
      <c r="Y47" s="61"/>
      <c r="Z47" s="61"/>
      <c r="AA47" s="61"/>
      <c r="AB47" s="61"/>
    </row>
    <row r="48" spans="2:28" ht="18" x14ac:dyDescent="0.3">
      <c r="B48" s="31"/>
      <c r="C48" s="61"/>
      <c r="D48" s="61"/>
      <c r="E48" s="61"/>
      <c r="F48" s="61"/>
      <c r="G48" s="61"/>
      <c r="H48" s="61"/>
      <c r="I48" s="61"/>
      <c r="J48" s="61"/>
      <c r="K48" s="61"/>
      <c r="L48" s="61"/>
      <c r="M48" s="61"/>
      <c r="N48" s="61"/>
      <c r="O48" s="61"/>
      <c r="P48" s="61"/>
      <c r="Q48" s="61"/>
      <c r="R48" s="61"/>
      <c r="S48" s="61"/>
      <c r="T48" s="61"/>
      <c r="U48" s="61"/>
      <c r="V48" s="61"/>
      <c r="W48" s="61"/>
      <c r="X48" s="61"/>
      <c r="Y48" s="61"/>
      <c r="Z48" s="61"/>
      <c r="AA48" s="61"/>
      <c r="AB48" s="61"/>
    </row>
    <row r="49" spans="2:28" ht="18" x14ac:dyDescent="0.3">
      <c r="B49" s="31"/>
      <c r="C49" s="61"/>
      <c r="D49" s="61"/>
      <c r="E49" s="61"/>
      <c r="F49" s="61"/>
      <c r="G49" s="61"/>
      <c r="H49" s="61"/>
      <c r="I49" s="61"/>
      <c r="J49" s="61"/>
      <c r="K49" s="61"/>
      <c r="L49" s="61"/>
      <c r="M49" s="61"/>
      <c r="N49" s="61"/>
      <c r="O49" s="61"/>
      <c r="P49" s="61"/>
      <c r="Q49" s="61"/>
      <c r="R49" s="61"/>
      <c r="S49" s="61"/>
      <c r="T49" s="61"/>
      <c r="U49" s="61"/>
      <c r="V49" s="61"/>
      <c r="W49" s="61"/>
      <c r="X49" s="61"/>
      <c r="Y49" s="61"/>
      <c r="Z49" s="61"/>
      <c r="AA49" s="61"/>
      <c r="AB49" s="61"/>
    </row>
    <row r="50" spans="2:28" ht="14.4" customHeight="1" x14ac:dyDescent="0.3">
      <c r="B50" s="33"/>
      <c r="C50" s="61" t="s">
        <v>301</v>
      </c>
      <c r="D50" s="61"/>
      <c r="E50" s="61"/>
      <c r="F50" s="61"/>
      <c r="G50" s="61"/>
      <c r="H50" s="61"/>
      <c r="I50" s="61"/>
      <c r="J50" s="61"/>
      <c r="K50" s="61"/>
      <c r="L50" s="61"/>
      <c r="M50" s="61"/>
      <c r="N50" s="61"/>
      <c r="O50" s="61"/>
      <c r="P50" s="61"/>
      <c r="Q50" s="61"/>
      <c r="R50" s="61"/>
      <c r="S50" s="61"/>
      <c r="T50" s="61"/>
      <c r="U50" s="61"/>
      <c r="V50" s="61"/>
      <c r="W50" s="61"/>
      <c r="X50" s="61"/>
      <c r="Y50" s="61"/>
      <c r="Z50" s="61"/>
      <c r="AA50" s="61"/>
      <c r="AB50" s="61"/>
    </row>
    <row r="51" spans="2:28" x14ac:dyDescent="0.3">
      <c r="B51" s="33"/>
      <c r="C51" s="61"/>
      <c r="D51" s="61"/>
      <c r="E51" s="61"/>
      <c r="F51" s="61"/>
      <c r="G51" s="61"/>
      <c r="H51" s="61"/>
      <c r="I51" s="61"/>
      <c r="J51" s="61"/>
      <c r="K51" s="61"/>
      <c r="L51" s="61"/>
      <c r="M51" s="61"/>
      <c r="N51" s="61"/>
      <c r="O51" s="61"/>
      <c r="P51" s="61"/>
      <c r="Q51" s="61"/>
      <c r="R51" s="61"/>
      <c r="S51" s="61"/>
      <c r="T51" s="61"/>
      <c r="U51" s="61"/>
      <c r="V51" s="61"/>
      <c r="W51" s="61"/>
      <c r="X51" s="61"/>
      <c r="Y51" s="61"/>
      <c r="Z51" s="61"/>
      <c r="AA51" s="61"/>
      <c r="AB51" s="61"/>
    </row>
    <row r="52" spans="2:28" x14ac:dyDescent="0.3">
      <c r="B52" s="33"/>
      <c r="C52" s="61"/>
      <c r="D52" s="61"/>
      <c r="E52" s="61"/>
      <c r="F52" s="61"/>
      <c r="G52" s="61"/>
      <c r="H52" s="61"/>
      <c r="I52" s="61"/>
      <c r="J52" s="61"/>
      <c r="K52" s="61"/>
      <c r="L52" s="61"/>
      <c r="M52" s="61"/>
      <c r="N52" s="61"/>
      <c r="O52" s="61"/>
      <c r="P52" s="61"/>
      <c r="Q52" s="61"/>
      <c r="R52" s="61"/>
      <c r="S52" s="61"/>
      <c r="T52" s="61"/>
      <c r="U52" s="61"/>
      <c r="V52" s="61"/>
      <c r="W52" s="61"/>
      <c r="X52" s="61"/>
      <c r="Y52" s="61"/>
      <c r="Z52" s="61"/>
      <c r="AA52" s="61"/>
      <c r="AB52" s="61"/>
    </row>
    <row r="53" spans="2:28" x14ac:dyDescent="0.3">
      <c r="B53" s="33"/>
    </row>
    <row r="54" spans="2:28" x14ac:dyDescent="0.3">
      <c r="B54" s="33"/>
    </row>
    <row r="55" spans="2:28" x14ac:dyDescent="0.3">
      <c r="B55" s="33"/>
    </row>
  </sheetData>
  <sheetProtection algorithmName="SHA-512" hashValue="UeU2QCyyFSqHUpdGtc2JPJSwiTLx0yMv4gHZnY74yhgZZFNYNLPZd+sXF30BXgRSC/5HCp7/Dz8VemFFokqXSg==" saltValue="M9dFoABSpuX+7Uqli+ZN4Q==" spinCount="100000" sheet="1" objects="1" scenarios="1"/>
  <mergeCells count="15">
    <mergeCell ref="C2:AB3"/>
    <mergeCell ref="C29:AB30"/>
    <mergeCell ref="C14:AB16"/>
    <mergeCell ref="C7:AB10"/>
    <mergeCell ref="C39:AB42"/>
    <mergeCell ref="C25:AB27"/>
    <mergeCell ref="C11:AB13"/>
    <mergeCell ref="C35:AB37"/>
    <mergeCell ref="C31:AB33"/>
    <mergeCell ref="C50:AB52"/>
    <mergeCell ref="C47:AB49"/>
    <mergeCell ref="C44:AB46"/>
    <mergeCell ref="C4:AB6"/>
    <mergeCell ref="C18:AB20"/>
    <mergeCell ref="C22:AB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F6B76-2344-4F69-BEA5-27893426C37E}">
  <sheetPr>
    <tabColor theme="4" tint="0.39997558519241921"/>
  </sheetPr>
  <dimension ref="A2:AQ58"/>
  <sheetViews>
    <sheetView topLeftCell="U1" zoomScale="70" zoomScaleNormal="70" workbookViewId="0">
      <selection activeCell="AQ25" sqref="AQ25"/>
    </sheetView>
  </sheetViews>
  <sheetFormatPr defaultRowHeight="14.4" x14ac:dyDescent="0.3"/>
  <cols>
    <col min="1" max="1" width="17.77734375" bestFit="1" customWidth="1"/>
    <col min="4" max="4" width="13.88671875" bestFit="1" customWidth="1"/>
    <col min="5" max="5" width="17.77734375" bestFit="1" customWidth="1"/>
    <col min="6" max="6" width="22.33203125" bestFit="1" customWidth="1"/>
    <col min="9" max="9" width="13.88671875" bestFit="1" customWidth="1"/>
    <col min="10" max="10" width="17.77734375" bestFit="1" customWidth="1"/>
    <col min="13" max="13" width="23.77734375" bestFit="1" customWidth="1"/>
    <col min="14" max="14" width="17.77734375" bestFit="1" customWidth="1"/>
    <col min="17" max="17" width="13.88671875" bestFit="1" customWidth="1"/>
    <col min="18" max="18" width="17.77734375" bestFit="1" customWidth="1"/>
    <col min="22" max="22" width="22.6640625" bestFit="1" customWidth="1"/>
    <col min="23" max="23" width="17.77734375" bestFit="1" customWidth="1"/>
    <col min="27" max="27" width="22.6640625" bestFit="1" customWidth="1"/>
    <col min="28" max="28" width="17.77734375" bestFit="1" customWidth="1"/>
    <col min="31" max="31" width="22.6640625" bestFit="1" customWidth="1"/>
    <col min="32" max="32" width="19.33203125" bestFit="1" customWidth="1"/>
    <col min="38" max="38" width="20.109375" bestFit="1" customWidth="1"/>
    <col min="42" max="42" width="13.88671875" bestFit="1" customWidth="1"/>
    <col min="43" max="43" width="17.77734375" bestFit="1" customWidth="1"/>
  </cols>
  <sheetData>
    <row r="2" spans="1:43" s="32" customFormat="1" x14ac:dyDescent="0.3">
      <c r="A2" s="32" t="s">
        <v>281</v>
      </c>
      <c r="D2" s="32" t="s">
        <v>282</v>
      </c>
      <c r="I2" s="32" t="s">
        <v>283</v>
      </c>
      <c r="M2" s="32" t="s">
        <v>284</v>
      </c>
      <c r="Q2" s="32" t="s">
        <v>285</v>
      </c>
      <c r="V2" s="32" t="s">
        <v>286</v>
      </c>
      <c r="AA2" s="32" t="s">
        <v>287</v>
      </c>
      <c r="AE2" s="32" t="s">
        <v>288</v>
      </c>
      <c r="AI2" s="32" t="s">
        <v>289</v>
      </c>
      <c r="AP2" s="32" t="s">
        <v>282</v>
      </c>
    </row>
    <row r="4" spans="1:43" x14ac:dyDescent="0.3">
      <c r="A4" t="s">
        <v>121</v>
      </c>
      <c r="D4" s="8" t="s">
        <v>122</v>
      </c>
      <c r="E4" t="s">
        <v>121</v>
      </c>
      <c r="I4" s="8" t="s">
        <v>122</v>
      </c>
      <c r="J4" t="s">
        <v>121</v>
      </c>
      <c r="M4" s="8" t="s">
        <v>122</v>
      </c>
      <c r="N4" t="s">
        <v>121</v>
      </c>
      <c r="Q4" s="8" t="s">
        <v>122</v>
      </c>
      <c r="R4" t="s">
        <v>121</v>
      </c>
      <c r="V4" s="8" t="s">
        <v>122</v>
      </c>
      <c r="W4" t="s">
        <v>121</v>
      </c>
      <c r="AA4" s="8" t="s">
        <v>122</v>
      </c>
      <c r="AB4" t="s">
        <v>121</v>
      </c>
      <c r="AE4" s="8" t="s">
        <v>122</v>
      </c>
      <c r="AF4" t="s">
        <v>139</v>
      </c>
    </row>
    <row r="5" spans="1:43" x14ac:dyDescent="0.3">
      <c r="A5" s="7">
        <v>984571.05999999924</v>
      </c>
      <c r="D5" s="9" t="s">
        <v>123</v>
      </c>
      <c r="E5" s="7">
        <v>92118.789999999964</v>
      </c>
      <c r="I5" s="20">
        <v>1</v>
      </c>
      <c r="J5" s="7">
        <v>5179.59</v>
      </c>
      <c r="M5" s="9" t="s">
        <v>238</v>
      </c>
      <c r="N5" s="7">
        <v>34991.64</v>
      </c>
      <c r="Q5" s="9" t="s">
        <v>108</v>
      </c>
      <c r="R5" s="7">
        <v>72920.48000000001</v>
      </c>
      <c r="V5" s="9" t="s">
        <v>83</v>
      </c>
      <c r="W5" s="7">
        <v>452995.44000000024</v>
      </c>
      <c r="AA5" s="9" t="s">
        <v>175</v>
      </c>
      <c r="AB5" s="7">
        <v>60929.149999999994</v>
      </c>
      <c r="AE5" s="9" t="s">
        <v>175</v>
      </c>
      <c r="AF5" s="70">
        <v>35</v>
      </c>
      <c r="AI5">
        <f>COUNTA(AE5:AE44)</f>
        <v>40</v>
      </c>
      <c r="AL5" t="s">
        <v>303</v>
      </c>
      <c r="AP5" s="8" t="s">
        <v>122</v>
      </c>
      <c r="AQ5" t="s">
        <v>121</v>
      </c>
    </row>
    <row r="6" spans="1:43" x14ac:dyDescent="0.3">
      <c r="D6" s="9" t="s">
        <v>124</v>
      </c>
      <c r="E6" s="7">
        <v>91137.049999999988</v>
      </c>
      <c r="I6" s="20">
        <v>2</v>
      </c>
      <c r="J6" s="7">
        <v>21116.729999999996</v>
      </c>
      <c r="M6" s="9" t="s">
        <v>270</v>
      </c>
      <c r="N6" s="7">
        <v>38232</v>
      </c>
      <c r="Q6" s="9" t="s">
        <v>109</v>
      </c>
      <c r="R6" s="7">
        <v>75939.73000000001</v>
      </c>
      <c r="V6" s="9" t="s">
        <v>87</v>
      </c>
      <c r="W6" s="7">
        <v>77523.280000000028</v>
      </c>
      <c r="AA6" s="9" t="s">
        <v>164</v>
      </c>
      <c r="AB6" s="7">
        <v>45112.94999999999</v>
      </c>
      <c r="AE6" s="9" t="s">
        <v>171</v>
      </c>
      <c r="AF6" s="70">
        <v>22</v>
      </c>
      <c r="AL6" s="7">
        <f>GETPIVOTDATA("Actual SALE",$I$4)/COUNTA(J5:J57)</f>
        <v>18576.812452830174</v>
      </c>
      <c r="AP6" s="9" t="s">
        <v>123</v>
      </c>
      <c r="AQ6" s="7">
        <v>92118.789999999964</v>
      </c>
    </row>
    <row r="7" spans="1:43" x14ac:dyDescent="0.3">
      <c r="D7" s="9" t="s">
        <v>125</v>
      </c>
      <c r="E7" s="7">
        <v>97920.72</v>
      </c>
      <c r="I7" s="20">
        <v>3</v>
      </c>
      <c r="J7" s="7">
        <v>14261.190000000004</v>
      </c>
      <c r="M7" s="9" t="s">
        <v>233</v>
      </c>
      <c r="N7" s="7">
        <v>38591.280000000006</v>
      </c>
      <c r="Q7" s="9" t="s">
        <v>114</v>
      </c>
      <c r="R7" s="7">
        <v>531575.61999999988</v>
      </c>
      <c r="V7" s="9" t="s">
        <v>85</v>
      </c>
      <c r="W7" s="7">
        <v>65776.760000000009</v>
      </c>
      <c r="AA7" s="9" t="s">
        <v>165</v>
      </c>
      <c r="AB7" s="7">
        <v>43062.83</v>
      </c>
      <c r="AE7" s="9" t="s">
        <v>173</v>
      </c>
      <c r="AF7" s="70">
        <v>13</v>
      </c>
      <c r="AP7" s="9" t="s">
        <v>124</v>
      </c>
      <c r="AQ7" s="7">
        <v>91137.049999999988</v>
      </c>
    </row>
    <row r="8" spans="1:43" x14ac:dyDescent="0.3">
      <c r="A8" s="7">
        <f>GETPIVOTDATA("Actual SALE",$A$4)</f>
        <v>984571.05999999924</v>
      </c>
      <c r="D8" s="9" t="s">
        <v>126</v>
      </c>
      <c r="E8" s="7">
        <v>72320.89</v>
      </c>
      <c r="I8" s="20">
        <v>4</v>
      </c>
      <c r="J8" s="7">
        <v>11433.2</v>
      </c>
      <c r="M8" s="9" t="s">
        <v>249</v>
      </c>
      <c r="N8" s="7">
        <v>39659.759999999995</v>
      </c>
      <c r="Q8" s="9" t="s">
        <v>110</v>
      </c>
      <c r="R8" s="7">
        <v>45081.780000000006</v>
      </c>
      <c r="V8" s="9" t="s">
        <v>88</v>
      </c>
      <c r="W8" s="7">
        <v>63344.339999999989</v>
      </c>
      <c r="AA8" s="9" t="s">
        <v>134</v>
      </c>
      <c r="AB8" s="7">
        <v>149104.93</v>
      </c>
      <c r="AE8" s="9" t="s">
        <v>145</v>
      </c>
      <c r="AF8" s="70">
        <v>13</v>
      </c>
      <c r="AP8" s="9" t="s">
        <v>125</v>
      </c>
      <c r="AQ8" s="7">
        <v>97920.72</v>
      </c>
    </row>
    <row r="9" spans="1:43" x14ac:dyDescent="0.3">
      <c r="D9" s="9" t="s">
        <v>47</v>
      </c>
      <c r="E9" s="7">
        <v>70511.75999999998</v>
      </c>
      <c r="I9" s="20">
        <v>5</v>
      </c>
      <c r="J9" s="7">
        <v>33727.55000000001</v>
      </c>
      <c r="M9" s="9" t="s">
        <v>260</v>
      </c>
      <c r="N9" s="7">
        <v>40883.039999999994</v>
      </c>
      <c r="Q9" s="9" t="s">
        <v>111</v>
      </c>
      <c r="R9" s="7">
        <v>83994.49000000002</v>
      </c>
      <c r="V9" s="9" t="s">
        <v>91</v>
      </c>
      <c r="W9" s="7">
        <v>50749.039999999994</v>
      </c>
      <c r="AE9" s="9" t="s">
        <v>147</v>
      </c>
      <c r="AF9" s="70">
        <v>21</v>
      </c>
      <c r="AL9" t="s">
        <v>142</v>
      </c>
      <c r="AP9" s="9" t="s">
        <v>126</v>
      </c>
      <c r="AQ9" s="7">
        <v>72320.89</v>
      </c>
    </row>
    <row r="10" spans="1:43" x14ac:dyDescent="0.3">
      <c r="D10" s="9" t="s">
        <v>127</v>
      </c>
      <c r="E10" s="7">
        <v>66727.399999999994</v>
      </c>
      <c r="I10" s="20">
        <v>6</v>
      </c>
      <c r="J10" s="7">
        <v>34794.820000000007</v>
      </c>
      <c r="M10" s="9" t="s">
        <v>250</v>
      </c>
      <c r="N10" s="7">
        <v>41055.299999999996</v>
      </c>
      <c r="Q10" s="9" t="s">
        <v>112</v>
      </c>
      <c r="R10" s="7">
        <v>53277.570000000007</v>
      </c>
      <c r="V10" s="9" t="s">
        <v>86</v>
      </c>
      <c r="W10" s="7">
        <v>39993.270000000004</v>
      </c>
      <c r="AE10" s="9" t="s">
        <v>177</v>
      </c>
      <c r="AF10" s="70">
        <v>21</v>
      </c>
      <c r="AL10">
        <f>COUNTA(J5:J57)</f>
        <v>53</v>
      </c>
      <c r="AP10" s="9" t="s">
        <v>47</v>
      </c>
      <c r="AQ10" s="7">
        <v>70511.75999999998</v>
      </c>
    </row>
    <row r="11" spans="1:43" x14ac:dyDescent="0.3">
      <c r="D11" s="9" t="s">
        <v>128</v>
      </c>
      <c r="E11" s="7">
        <v>92661.550000000017</v>
      </c>
      <c r="I11" s="20">
        <v>7</v>
      </c>
      <c r="J11" s="7">
        <v>32107.100000000006</v>
      </c>
      <c r="M11" s="9" t="s">
        <v>247</v>
      </c>
      <c r="N11" s="7">
        <v>41580</v>
      </c>
      <c r="Q11" s="9" t="s">
        <v>113</v>
      </c>
      <c r="R11" s="7">
        <v>121781.38999999998</v>
      </c>
      <c r="V11" s="9" t="s">
        <v>80</v>
      </c>
      <c r="W11" s="7">
        <v>39653.929999999993</v>
      </c>
      <c r="AA11" t="str">
        <f>AA5</f>
        <v>Stonebridge Commercial</v>
      </c>
      <c r="AB11" s="7">
        <f>AB5</f>
        <v>60929.149999999994</v>
      </c>
      <c r="AE11" s="9" t="s">
        <v>180</v>
      </c>
      <c r="AF11" s="70">
        <v>7</v>
      </c>
      <c r="AP11" s="9" t="s">
        <v>127</v>
      </c>
      <c r="AQ11" s="7">
        <v>66727.399999999994</v>
      </c>
    </row>
    <row r="12" spans="1:43" x14ac:dyDescent="0.3">
      <c r="D12" s="9" t="s">
        <v>129</v>
      </c>
      <c r="E12" s="7">
        <v>69125.749999999985</v>
      </c>
      <c r="I12" s="20">
        <v>8</v>
      </c>
      <c r="J12" s="7">
        <v>11777.67</v>
      </c>
      <c r="M12" s="9" t="s">
        <v>252</v>
      </c>
      <c r="N12" s="7">
        <v>49599.360000000008</v>
      </c>
      <c r="Q12" s="9" t="s">
        <v>134</v>
      </c>
      <c r="R12" s="7">
        <v>984571.05999999994</v>
      </c>
      <c r="V12" s="9" t="s">
        <v>79</v>
      </c>
      <c r="W12" s="7">
        <v>39438.44000000001</v>
      </c>
      <c r="AA12" t="str">
        <f t="shared" ref="AA12:AA13" si="0">AA6</f>
        <v>Southcote Industries</v>
      </c>
      <c r="AB12" s="7">
        <f>AB6</f>
        <v>45112.94999999999</v>
      </c>
      <c r="AE12" s="9" t="s">
        <v>181</v>
      </c>
      <c r="AF12" s="70">
        <v>14</v>
      </c>
      <c r="AP12" s="9" t="s">
        <v>128</v>
      </c>
      <c r="AQ12" s="7">
        <v>92661.550000000017</v>
      </c>
    </row>
    <row r="13" spans="1:43" x14ac:dyDescent="0.3">
      <c r="D13" s="9" t="s">
        <v>130</v>
      </c>
      <c r="E13" s="7">
        <v>78253.529999999984</v>
      </c>
      <c r="I13" s="20">
        <v>9</v>
      </c>
      <c r="J13" s="7">
        <v>17571.589999999997</v>
      </c>
      <c r="M13" s="9" t="s">
        <v>269</v>
      </c>
      <c r="N13" s="7">
        <v>57554.28</v>
      </c>
      <c r="V13" s="9" t="s">
        <v>89</v>
      </c>
      <c r="W13" s="7">
        <v>38317.789999999994</v>
      </c>
      <c r="AA13" t="str">
        <f t="shared" si="0"/>
        <v>Larkspur Retailers</v>
      </c>
      <c r="AB13" s="7">
        <f>AB7</f>
        <v>43062.83</v>
      </c>
      <c r="AE13" s="9" t="s">
        <v>176</v>
      </c>
      <c r="AF13" s="70">
        <v>6</v>
      </c>
      <c r="AP13" s="9" t="s">
        <v>129</v>
      </c>
      <c r="AQ13" s="7">
        <v>69125.749999999985</v>
      </c>
    </row>
    <row r="14" spans="1:43" x14ac:dyDescent="0.3">
      <c r="D14" s="9" t="s">
        <v>131</v>
      </c>
      <c r="E14" s="7">
        <v>87136.37</v>
      </c>
      <c r="I14" s="20">
        <v>10</v>
      </c>
      <c r="J14" s="7">
        <v>17413.299999999996</v>
      </c>
      <c r="M14" s="9" t="s">
        <v>258</v>
      </c>
      <c r="N14" s="7">
        <v>57968.639999999992</v>
      </c>
      <c r="V14" s="9" t="s">
        <v>90</v>
      </c>
      <c r="W14" s="7">
        <v>32808.019999999997</v>
      </c>
      <c r="AE14" s="9" t="s">
        <v>160</v>
      </c>
      <c r="AF14" s="70">
        <v>25</v>
      </c>
      <c r="AP14" s="9" t="s">
        <v>130</v>
      </c>
      <c r="AQ14" s="7">
        <v>78253.529999999984</v>
      </c>
    </row>
    <row r="15" spans="1:43" x14ac:dyDescent="0.3">
      <c r="D15" s="9" t="s">
        <v>132</v>
      </c>
      <c r="E15" s="7">
        <v>75659.86</v>
      </c>
      <c r="I15" s="20">
        <v>11</v>
      </c>
      <c r="J15" s="7">
        <v>18811.389999999996</v>
      </c>
      <c r="M15" s="9" t="s">
        <v>134</v>
      </c>
      <c r="N15" s="7">
        <v>440115.30000000005</v>
      </c>
      <c r="V15" s="9" t="s">
        <v>78</v>
      </c>
      <c r="W15" s="7">
        <v>31336.229999999992</v>
      </c>
      <c r="AE15" s="9" t="s">
        <v>162</v>
      </c>
      <c r="AF15" s="70">
        <v>23</v>
      </c>
      <c r="AP15" s="9" t="s">
        <v>131</v>
      </c>
      <c r="AQ15" s="7">
        <v>87136.37</v>
      </c>
    </row>
    <row r="16" spans="1:43" x14ac:dyDescent="0.3">
      <c r="D16" s="9" t="s">
        <v>133</v>
      </c>
      <c r="E16" s="7">
        <v>90997.389999999985</v>
      </c>
      <c r="I16" s="20">
        <v>12</v>
      </c>
      <c r="J16" s="7">
        <v>29446.460000000003</v>
      </c>
      <c r="V16" s="9" t="s">
        <v>82</v>
      </c>
      <c r="W16" s="7">
        <v>16810.719999999998</v>
      </c>
      <c r="AE16" s="9" t="s">
        <v>179</v>
      </c>
      <c r="AF16" s="70">
        <v>9</v>
      </c>
      <c r="AP16" s="9" t="s">
        <v>132</v>
      </c>
      <c r="AQ16" s="7">
        <v>75659.86</v>
      </c>
    </row>
    <row r="17" spans="4:43" x14ac:dyDescent="0.3">
      <c r="D17" s="9" t="s">
        <v>134</v>
      </c>
      <c r="E17" s="7">
        <v>984571.06</v>
      </c>
      <c r="I17" s="20">
        <v>13</v>
      </c>
      <c r="J17" s="7">
        <v>22723.600000000002</v>
      </c>
      <c r="V17" s="9" t="s">
        <v>81</v>
      </c>
      <c r="W17" s="7">
        <v>14337.400000000003</v>
      </c>
      <c r="AE17" s="9" t="s">
        <v>174</v>
      </c>
      <c r="AF17" s="70">
        <v>13</v>
      </c>
      <c r="AP17" s="9" t="s">
        <v>133</v>
      </c>
      <c r="AQ17" s="7">
        <v>90997.389999999985</v>
      </c>
    </row>
    <row r="18" spans="4:43" x14ac:dyDescent="0.3">
      <c r="I18" s="20">
        <v>14</v>
      </c>
      <c r="J18" s="7">
        <v>13729.810000000001</v>
      </c>
      <c r="V18" s="9" t="s">
        <v>92</v>
      </c>
      <c r="W18" s="7">
        <v>13092.080000000002</v>
      </c>
      <c r="AE18" s="9" t="s">
        <v>151</v>
      </c>
      <c r="AF18" s="70">
        <v>22</v>
      </c>
    </row>
    <row r="19" spans="4:43" x14ac:dyDescent="0.3">
      <c r="I19" s="20">
        <v>15</v>
      </c>
      <c r="J19" s="7">
        <v>27820.09</v>
      </c>
      <c r="V19" s="9" t="s">
        <v>84</v>
      </c>
      <c r="W19" s="7">
        <v>8394.32</v>
      </c>
      <c r="AE19" s="9" t="s">
        <v>168</v>
      </c>
      <c r="AF19" s="70">
        <v>24</v>
      </c>
    </row>
    <row r="20" spans="4:43" x14ac:dyDescent="0.3">
      <c r="I20" s="20">
        <v>16</v>
      </c>
      <c r="J20" s="7">
        <v>9407.51</v>
      </c>
      <c r="V20" s="9" t="s">
        <v>134</v>
      </c>
      <c r="W20" s="7">
        <v>984571.06000000041</v>
      </c>
      <c r="AE20" s="9" t="s">
        <v>148</v>
      </c>
      <c r="AF20" s="70">
        <v>29</v>
      </c>
    </row>
    <row r="21" spans="4:43" x14ac:dyDescent="0.3">
      <c r="I21" s="20">
        <v>17</v>
      </c>
      <c r="J21" s="7">
        <v>22127.300000000003</v>
      </c>
      <c r="AE21" s="9" t="s">
        <v>143</v>
      </c>
      <c r="AF21" s="70">
        <v>25</v>
      </c>
    </row>
    <row r="22" spans="4:43" x14ac:dyDescent="0.3">
      <c r="I22" s="20">
        <v>18</v>
      </c>
      <c r="J22" s="7">
        <v>11809.4</v>
      </c>
      <c r="AE22" s="9" t="s">
        <v>158</v>
      </c>
      <c r="AF22" s="70">
        <v>27</v>
      </c>
    </row>
    <row r="23" spans="4:43" x14ac:dyDescent="0.3">
      <c r="I23" s="20">
        <v>19</v>
      </c>
      <c r="J23" s="7">
        <v>12750.539999999997</v>
      </c>
      <c r="V23" s="21" t="s">
        <v>93</v>
      </c>
      <c r="W23" s="21" t="s">
        <v>140</v>
      </c>
      <c r="AE23" s="9" t="s">
        <v>161</v>
      </c>
      <c r="AF23" s="70">
        <v>24</v>
      </c>
    </row>
    <row r="24" spans="4:43" x14ac:dyDescent="0.3">
      <c r="I24" s="20">
        <v>20</v>
      </c>
      <c r="J24" s="7">
        <v>19691.759999999998</v>
      </c>
      <c r="V24" t="str">
        <f>V5</f>
        <v>India</v>
      </c>
      <c r="W24" s="7" cm="1">
        <f t="array" ref="W24:W38">W5:W19</f>
        <v>452995.44000000024</v>
      </c>
      <c r="AE24" s="9" t="s">
        <v>178</v>
      </c>
      <c r="AF24" s="70">
        <v>15</v>
      </c>
    </row>
    <row r="25" spans="4:43" x14ac:dyDescent="0.3">
      <c r="I25" s="20">
        <v>21</v>
      </c>
      <c r="J25" s="7">
        <v>19171.71</v>
      </c>
      <c r="V25" t="str">
        <f t="shared" ref="V25:V38" si="1">V6</f>
        <v>Pakistan</v>
      </c>
      <c r="W25" s="7">
        <v>77523.280000000028</v>
      </c>
      <c r="AE25" s="9" t="s">
        <v>163</v>
      </c>
      <c r="AF25" s="70">
        <v>32</v>
      </c>
    </row>
    <row r="26" spans="4:43" x14ac:dyDescent="0.3">
      <c r="I26" s="20">
        <v>22</v>
      </c>
      <c r="J26" s="7">
        <v>11617.86</v>
      </c>
      <c r="V26" t="str">
        <f t="shared" si="1"/>
        <v>Mexico</v>
      </c>
      <c r="W26" s="7">
        <v>65776.760000000009</v>
      </c>
      <c r="AE26" s="9" t="s">
        <v>153</v>
      </c>
      <c r="AF26" s="70">
        <v>25</v>
      </c>
    </row>
    <row r="27" spans="4:43" x14ac:dyDescent="0.3">
      <c r="I27" s="20">
        <v>23</v>
      </c>
      <c r="J27" s="7">
        <v>17000.620000000003</v>
      </c>
      <c r="V27" t="str">
        <f t="shared" si="1"/>
        <v>Russia</v>
      </c>
      <c r="W27" s="7">
        <v>63344.339999999989</v>
      </c>
      <c r="AE27" s="9" t="s">
        <v>159</v>
      </c>
      <c r="AF27" s="70">
        <v>22</v>
      </c>
    </row>
    <row r="28" spans="4:43" x14ac:dyDescent="0.3">
      <c r="I28" s="20">
        <v>24</v>
      </c>
      <c r="J28" s="7">
        <v>15273.349999999999</v>
      </c>
      <c r="V28" t="str">
        <f t="shared" si="1"/>
        <v>United Kingdom</v>
      </c>
      <c r="W28" s="7">
        <v>50749.039999999994</v>
      </c>
      <c r="AE28" s="9" t="s">
        <v>156</v>
      </c>
      <c r="AF28" s="70">
        <v>34</v>
      </c>
    </row>
    <row r="29" spans="4:43" x14ac:dyDescent="0.3">
      <c r="I29" s="20">
        <v>25</v>
      </c>
      <c r="J29" s="7">
        <v>23043.470000000005</v>
      </c>
      <c r="V29" t="str">
        <f t="shared" si="1"/>
        <v>Nigeria</v>
      </c>
      <c r="W29" s="7">
        <v>39993.270000000004</v>
      </c>
      <c r="AE29" s="9" t="s">
        <v>150</v>
      </c>
      <c r="AF29" s="70">
        <v>24</v>
      </c>
    </row>
    <row r="30" spans="4:43" x14ac:dyDescent="0.3">
      <c r="I30" s="20">
        <v>26</v>
      </c>
      <c r="J30" s="7">
        <v>13593.79</v>
      </c>
      <c r="V30" t="str">
        <f t="shared" si="1"/>
        <v>Ethiopia</v>
      </c>
      <c r="W30" s="7">
        <v>39653.929999999993</v>
      </c>
      <c r="AE30" s="9" t="s">
        <v>166</v>
      </c>
      <c r="AF30" s="70">
        <v>11</v>
      </c>
    </row>
    <row r="31" spans="4:43" x14ac:dyDescent="0.3">
      <c r="I31" s="20">
        <v>27</v>
      </c>
      <c r="J31" s="7">
        <v>13197.89</v>
      </c>
      <c r="V31" t="str">
        <f t="shared" si="1"/>
        <v>Brazil</v>
      </c>
      <c r="W31" s="7">
        <v>39438.44000000001</v>
      </c>
      <c r="AE31" s="9" t="s">
        <v>167</v>
      </c>
      <c r="AF31" s="70">
        <v>31</v>
      </c>
    </row>
    <row r="32" spans="4:43" x14ac:dyDescent="0.3">
      <c r="I32" s="20">
        <v>28</v>
      </c>
      <c r="J32" s="7">
        <v>13311.339999999998</v>
      </c>
      <c r="V32" t="str">
        <f t="shared" si="1"/>
        <v>Saudi Arabia</v>
      </c>
      <c r="W32" s="7">
        <v>38317.789999999994</v>
      </c>
      <c r="AE32" s="9" t="s">
        <v>169</v>
      </c>
      <c r="AF32" s="70">
        <v>15</v>
      </c>
    </row>
    <row r="33" spans="9:32" x14ac:dyDescent="0.3">
      <c r="I33" s="20">
        <v>29</v>
      </c>
      <c r="J33" s="7">
        <v>26662.809999999998</v>
      </c>
      <c r="V33" t="str">
        <f t="shared" si="1"/>
        <v>South Africa</v>
      </c>
      <c r="W33" s="7">
        <v>32808.019999999997</v>
      </c>
      <c r="AE33" s="9" t="s">
        <v>157</v>
      </c>
      <c r="AF33" s="70">
        <v>28</v>
      </c>
    </row>
    <row r="34" spans="9:32" x14ac:dyDescent="0.3">
      <c r="I34" s="20">
        <v>30</v>
      </c>
      <c r="J34" s="7">
        <v>15652.32</v>
      </c>
      <c r="V34" t="str">
        <f t="shared" si="1"/>
        <v>Bangladesh</v>
      </c>
      <c r="W34" s="7">
        <v>31336.229999999992</v>
      </c>
      <c r="AE34" s="9" t="s">
        <v>164</v>
      </c>
      <c r="AF34" s="70">
        <v>34</v>
      </c>
    </row>
    <row r="35" spans="9:32" x14ac:dyDescent="0.3">
      <c r="I35" s="20">
        <v>31</v>
      </c>
      <c r="J35" s="7">
        <v>27172.400000000001</v>
      </c>
      <c r="V35" t="str">
        <f t="shared" si="1"/>
        <v>Germany</v>
      </c>
      <c r="W35" s="7">
        <v>16810.719999999998</v>
      </c>
      <c r="AE35" s="9" t="s">
        <v>172</v>
      </c>
      <c r="AF35" s="70">
        <v>27</v>
      </c>
    </row>
    <row r="36" spans="9:32" x14ac:dyDescent="0.3">
      <c r="I36" s="20">
        <v>32</v>
      </c>
      <c r="J36" s="7">
        <v>6991.1000000000013</v>
      </c>
      <c r="V36" t="str">
        <f t="shared" si="1"/>
        <v>France</v>
      </c>
      <c r="W36" s="7">
        <v>14337.400000000003</v>
      </c>
      <c r="AE36" s="9" t="s">
        <v>146</v>
      </c>
      <c r="AF36" s="70">
        <v>25</v>
      </c>
    </row>
    <row r="37" spans="9:32" x14ac:dyDescent="0.3">
      <c r="I37" s="20">
        <v>33</v>
      </c>
      <c r="J37" s="7">
        <v>17406.18</v>
      </c>
      <c r="V37" t="str">
        <f t="shared" si="1"/>
        <v>United States of America</v>
      </c>
      <c r="W37" s="7">
        <v>13092.080000000002</v>
      </c>
      <c r="AE37" s="9" t="s">
        <v>154</v>
      </c>
      <c r="AF37" s="70">
        <v>25</v>
      </c>
    </row>
    <row r="38" spans="9:32" x14ac:dyDescent="0.3">
      <c r="I38" s="20">
        <v>34</v>
      </c>
      <c r="J38" s="7">
        <v>10403.35</v>
      </c>
      <c r="V38" t="str">
        <f t="shared" si="1"/>
        <v>Indonesia</v>
      </c>
      <c r="W38" s="7">
        <v>8394.32</v>
      </c>
      <c r="AE38" s="9" t="s">
        <v>144</v>
      </c>
      <c r="AF38" s="70">
        <v>25</v>
      </c>
    </row>
    <row r="39" spans="9:32" x14ac:dyDescent="0.3">
      <c r="I39" s="20">
        <v>35</v>
      </c>
      <c r="J39" s="7">
        <v>29524.29</v>
      </c>
      <c r="AE39" s="9" t="s">
        <v>165</v>
      </c>
      <c r="AF39" s="70">
        <v>28</v>
      </c>
    </row>
    <row r="40" spans="9:32" x14ac:dyDescent="0.3">
      <c r="I40" s="20">
        <v>36</v>
      </c>
      <c r="J40" s="7">
        <v>14336.82</v>
      </c>
      <c r="AE40" s="9" t="s">
        <v>170</v>
      </c>
      <c r="AF40" s="70">
        <v>17</v>
      </c>
    </row>
    <row r="41" spans="9:32" x14ac:dyDescent="0.3">
      <c r="I41" s="20">
        <v>37</v>
      </c>
      <c r="J41" s="7">
        <v>15584.3</v>
      </c>
      <c r="AE41" s="9" t="s">
        <v>152</v>
      </c>
      <c r="AF41" s="70">
        <v>15</v>
      </c>
    </row>
    <row r="42" spans="9:32" x14ac:dyDescent="0.3">
      <c r="I42" s="20">
        <v>38</v>
      </c>
      <c r="J42" s="7">
        <v>13437.32</v>
      </c>
      <c r="AE42" s="9" t="s">
        <v>149</v>
      </c>
      <c r="AF42" s="70">
        <v>8</v>
      </c>
    </row>
    <row r="43" spans="9:32" x14ac:dyDescent="0.3">
      <c r="I43" s="20">
        <v>39</v>
      </c>
      <c r="J43" s="7">
        <v>30057.11</v>
      </c>
      <c r="AE43" s="9" t="s">
        <v>155</v>
      </c>
      <c r="AF43" s="70">
        <v>8</v>
      </c>
    </row>
    <row r="44" spans="9:32" x14ac:dyDescent="0.3">
      <c r="I44" s="20">
        <v>40</v>
      </c>
      <c r="J44" s="7">
        <v>17799.129999999997</v>
      </c>
      <c r="AE44" s="9" t="s">
        <v>182</v>
      </c>
      <c r="AF44" s="70">
        <v>10</v>
      </c>
    </row>
    <row r="45" spans="9:32" x14ac:dyDescent="0.3">
      <c r="I45" s="20">
        <v>41</v>
      </c>
      <c r="J45" s="7">
        <v>25449.57</v>
      </c>
    </row>
    <row r="46" spans="9:32" x14ac:dyDescent="0.3">
      <c r="I46" s="20">
        <v>42</v>
      </c>
      <c r="J46" s="7">
        <v>14658.500000000002</v>
      </c>
    </row>
    <row r="47" spans="9:32" x14ac:dyDescent="0.3">
      <c r="I47" s="20">
        <v>43</v>
      </c>
      <c r="J47" s="7">
        <v>19795.28</v>
      </c>
    </row>
    <row r="48" spans="9:32" x14ac:dyDescent="0.3">
      <c r="I48" s="20">
        <v>44</v>
      </c>
      <c r="J48" s="7">
        <v>17458.100000000002</v>
      </c>
    </row>
    <row r="49" spans="9:10" x14ac:dyDescent="0.3">
      <c r="I49" s="20">
        <v>45</v>
      </c>
      <c r="J49" s="7">
        <v>17068.960000000003</v>
      </c>
    </row>
    <row r="50" spans="9:10" x14ac:dyDescent="0.3">
      <c r="I50" s="20">
        <v>46</v>
      </c>
      <c r="J50" s="7">
        <v>16104.110000000002</v>
      </c>
    </row>
    <row r="51" spans="9:10" x14ac:dyDescent="0.3">
      <c r="I51" s="20">
        <v>47</v>
      </c>
      <c r="J51" s="7">
        <v>16390.38</v>
      </c>
    </row>
    <row r="52" spans="9:10" x14ac:dyDescent="0.3">
      <c r="I52" s="20">
        <v>48</v>
      </c>
      <c r="J52" s="7">
        <v>25601.349999999995</v>
      </c>
    </row>
    <row r="53" spans="9:10" x14ac:dyDescent="0.3">
      <c r="I53" s="20">
        <v>49</v>
      </c>
      <c r="J53" s="7">
        <v>7322.39</v>
      </c>
    </row>
    <row r="54" spans="9:10" x14ac:dyDescent="0.3">
      <c r="I54" s="20">
        <v>50</v>
      </c>
      <c r="J54" s="7">
        <v>18755.54</v>
      </c>
    </row>
    <row r="55" spans="9:10" x14ac:dyDescent="0.3">
      <c r="I55" s="20">
        <v>51</v>
      </c>
      <c r="J55" s="7">
        <v>15496.2</v>
      </c>
    </row>
    <row r="56" spans="9:10" x14ac:dyDescent="0.3">
      <c r="I56" s="20">
        <v>52</v>
      </c>
      <c r="J56" s="7">
        <v>24337.019999999997</v>
      </c>
    </row>
    <row r="57" spans="9:10" x14ac:dyDescent="0.3">
      <c r="I57" s="20">
        <v>53</v>
      </c>
      <c r="J57" s="7">
        <v>27195.9</v>
      </c>
    </row>
    <row r="58" spans="9:10" x14ac:dyDescent="0.3">
      <c r="I58" s="20" t="s">
        <v>134</v>
      </c>
      <c r="J58" s="7">
        <v>984571.05999999924</v>
      </c>
    </row>
  </sheetData>
  <sheetProtection algorithmName="SHA-512" hashValue="em3I9Q3Sp47ujdcw8gzvPEYTOmFL9GLh1JFYMgr/9zLqN7TGGG/fbe2dFj+ZmAXe2wAs5ImT6yfJXQJFMVGO0w==" saltValue="mKRQSHGrjAQ3ZGBHQbX/wg==" spinCount="100000" sheet="1" objects="1" scenarios="1"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rgb="FF00B050"/>
  </sheetPr>
  <dimension ref="A1:AF837"/>
  <sheetViews>
    <sheetView zoomScaleNormal="100" workbookViewId="0">
      <selection activeCell="Q15" sqref="Q15"/>
    </sheetView>
  </sheetViews>
  <sheetFormatPr defaultRowHeight="14.4" x14ac:dyDescent="0.3"/>
  <cols>
    <col min="1" max="1" width="11.88671875" style="1" bestFit="1" customWidth="1"/>
    <col min="2" max="2" width="21" style="3" bestFit="1" customWidth="1"/>
    <col min="3" max="3" width="22.21875" style="1" bestFit="1" customWidth="1"/>
    <col min="4" max="4" width="14.44140625" style="6" customWidth="1"/>
    <col min="5" max="5" width="14.21875" style="1" bestFit="1" customWidth="1"/>
    <col min="6" max="6" width="15.33203125" style="1" bestFit="1" customWidth="1"/>
    <col min="7" max="7" width="20.33203125" style="1" customWidth="1"/>
    <col min="8" max="8" width="11.21875" style="1" bestFit="1" customWidth="1"/>
    <col min="9" max="10" width="8.88671875" style="1"/>
    <col min="11" max="11" width="10.5546875" style="1" bestFit="1" customWidth="1"/>
    <col min="12" max="13" width="8.88671875" style="1"/>
    <col min="14" max="14" width="10.88671875" style="1" bestFit="1" customWidth="1"/>
    <col min="15" max="15" width="24.33203125" style="1" bestFit="1" customWidth="1"/>
    <col min="16" max="17" width="8.88671875" style="1"/>
    <col min="18" max="18" width="16.5546875" style="1" bestFit="1" customWidth="1"/>
    <col min="19" max="19" width="20.109375" style="1" bestFit="1" customWidth="1"/>
    <col min="20" max="21" width="8.88671875" style="1"/>
    <col min="22" max="22" width="26.6640625" style="1" bestFit="1" customWidth="1"/>
    <col min="23" max="23" width="22.21875" style="1" bestFit="1" customWidth="1"/>
    <col min="24" max="25" width="8.88671875" style="1"/>
    <col min="26" max="26" width="15.109375" style="1" bestFit="1" customWidth="1"/>
    <col min="27" max="27" width="22.21875" style="1" bestFit="1" customWidth="1"/>
    <col min="28" max="31" width="8.88671875" style="1"/>
    <col min="32" max="32" width="21.109375" style="1" bestFit="1" customWidth="1"/>
    <col min="33" max="16384" width="8.88671875" style="1"/>
  </cols>
  <sheetData>
    <row r="1" spans="1:32" ht="15.6" x14ac:dyDescent="0.3">
      <c r="A1" s="65" t="s">
        <v>120</v>
      </c>
      <c r="B1" s="65"/>
      <c r="C1" s="65"/>
      <c r="D1" s="65"/>
      <c r="E1" s="65"/>
      <c r="F1" s="65"/>
      <c r="G1" s="65"/>
      <c r="H1" s="65"/>
      <c r="I1" s="65"/>
      <c r="J1" s="65"/>
      <c r="K1" s="65"/>
      <c r="N1" s="23" t="s">
        <v>225</v>
      </c>
    </row>
    <row r="2" spans="1:32" x14ac:dyDescent="0.3">
      <c r="A2" s="65"/>
      <c r="B2" s="65"/>
      <c r="C2" s="65"/>
      <c r="D2" s="65"/>
      <c r="E2" s="65"/>
      <c r="F2" s="65"/>
      <c r="G2" s="65"/>
      <c r="H2" s="65"/>
      <c r="I2" s="65"/>
      <c r="J2" s="65"/>
      <c r="K2" s="65"/>
    </row>
    <row r="4" spans="1:32" ht="15" thickBot="1" x14ac:dyDescent="0.35">
      <c r="A4" s="2" t="s">
        <v>45</v>
      </c>
      <c r="B4" s="2" t="s">
        <v>115</v>
      </c>
      <c r="C4" s="2" t="s">
        <v>0</v>
      </c>
      <c r="D4" s="5" t="s">
        <v>116</v>
      </c>
      <c r="E4" s="2" t="s">
        <v>46</v>
      </c>
      <c r="F4" s="2" t="s">
        <v>117</v>
      </c>
      <c r="G4" s="2" t="s">
        <v>93</v>
      </c>
      <c r="H4" s="2" t="s">
        <v>107</v>
      </c>
      <c r="I4" s="2" t="s">
        <v>106</v>
      </c>
      <c r="J4" s="2" t="s">
        <v>119</v>
      </c>
      <c r="K4" s="2" t="s">
        <v>118</v>
      </c>
      <c r="N4" s="24" t="s">
        <v>227</v>
      </c>
      <c r="V4" s="24" t="s">
        <v>228</v>
      </c>
      <c r="AF4" s="1" t="s">
        <v>275</v>
      </c>
    </row>
    <row r="5" spans="1:32" ht="15" thickBot="1" x14ac:dyDescent="0.35">
      <c r="A5" s="10">
        <v>44197</v>
      </c>
      <c r="B5" s="3" t="s">
        <v>175</v>
      </c>
      <c r="C5" s="11" t="s">
        <v>252</v>
      </c>
      <c r="D5" s="12">
        <v>156.96</v>
      </c>
      <c r="E5" s="1">
        <v>9</v>
      </c>
      <c r="F5" s="13">
        <f>InputData[[#This Row],[QUANTITY]]*InputData[[#This Row],[UNIT PRICE (R)]]</f>
        <v>1412.64</v>
      </c>
      <c r="G5" s="1" t="str">
        <f>VLOOKUP(InputData[[#This Row],[CUSTOMER NAME]],Country[],2,0)</f>
        <v>India</v>
      </c>
      <c r="H5" s="1" t="str">
        <f>VLOOKUP(InputData[[#This Row],[CUSTOMER NAME]],Country[],3,0)</f>
        <v>Western</v>
      </c>
      <c r="I5" s="1" t="str">
        <f>TEXT(InputData[[#This Row],[DATE]],"mmmm")</f>
        <v>January</v>
      </c>
      <c r="J5" s="1" t="str">
        <f>TEXT(InputData[[#This Row],[DATE]],"ddd")</f>
        <v>Fri</v>
      </c>
      <c r="K5" s="14">
        <f>WEEKNUM(InputData[[#This Row],[DATE]])</f>
        <v>1</v>
      </c>
      <c r="N5" s="3" t="s">
        <v>48</v>
      </c>
      <c r="O5" t="s">
        <v>143</v>
      </c>
      <c r="R5" s="22" t="s">
        <v>115</v>
      </c>
      <c r="S5" s="1" t="s">
        <v>203</v>
      </c>
      <c r="V5" s="11" t="s">
        <v>1</v>
      </c>
      <c r="W5" t="s">
        <v>229</v>
      </c>
      <c r="Z5" s="24" t="s">
        <v>226</v>
      </c>
      <c r="AA5" s="1" t="s">
        <v>203</v>
      </c>
      <c r="AF5" s="1" t="s">
        <v>175</v>
      </c>
    </row>
    <row r="6" spans="1:32" x14ac:dyDescent="0.3">
      <c r="A6" s="10">
        <v>44197</v>
      </c>
      <c r="B6" s="3" t="s">
        <v>171</v>
      </c>
      <c r="C6" s="11" t="s">
        <v>250</v>
      </c>
      <c r="D6" s="12">
        <v>141.57</v>
      </c>
      <c r="E6" s="1">
        <v>1</v>
      </c>
      <c r="F6" s="13">
        <f>InputData[[#This Row],[QUANTITY]]*InputData[[#This Row],[UNIT PRICE (R)]]</f>
        <v>141.57</v>
      </c>
      <c r="G6" s="1" t="str">
        <f>VLOOKUP(InputData[[#This Row],[CUSTOMER NAME]],Country[],2,0)</f>
        <v>India</v>
      </c>
      <c r="H6" s="1" t="str">
        <f>VLOOKUP(InputData[[#This Row],[CUSTOMER NAME]],Country[],3,0)</f>
        <v>South</v>
      </c>
      <c r="I6" s="1" t="str">
        <f>TEXT(InputData[[#This Row],[DATE]],"mmmm")</f>
        <v>January</v>
      </c>
      <c r="J6" s="1" t="str">
        <f>TEXT(InputData[[#This Row],[DATE]],"ddd")</f>
        <v>Fri</v>
      </c>
      <c r="K6" s="14">
        <f>WEEKNUM(InputData[[#This Row],[DATE]])</f>
        <v>1</v>
      </c>
      <c r="N6" s="3" t="s">
        <v>49</v>
      </c>
      <c r="O6" t="s">
        <v>144</v>
      </c>
      <c r="R6" s="3" t="s">
        <v>97</v>
      </c>
      <c r="S6" s="1" t="str">
        <f>_xlfn.XLOOKUP(R6,$N$5:$N$64,$O$5:$O$64,"Not Found")</f>
        <v>Stonebridge Commercial</v>
      </c>
      <c r="V6" s="11" t="s">
        <v>2</v>
      </c>
      <c r="W6" t="s">
        <v>230</v>
      </c>
      <c r="Z6" s="11" t="s">
        <v>24</v>
      </c>
      <c r="AA6" s="1" t="str">
        <f>_xlfn.XLOOKUP(Z6,$V$5:$V$48,$W$5:$W$48,"Not Found",0)</f>
        <v>Eye Bolt M10</v>
      </c>
      <c r="AF6" s="1" t="s">
        <v>171</v>
      </c>
    </row>
    <row r="7" spans="1:32" x14ac:dyDescent="0.3">
      <c r="A7" s="10">
        <v>44198</v>
      </c>
      <c r="B7" s="3" t="s">
        <v>173</v>
      </c>
      <c r="C7" s="11" t="s">
        <v>266</v>
      </c>
      <c r="D7" s="12">
        <v>79.92</v>
      </c>
      <c r="E7" s="1">
        <v>15</v>
      </c>
      <c r="F7" s="13">
        <f>InputData[[#This Row],[QUANTITY]]*InputData[[#This Row],[UNIT PRICE (R)]]</f>
        <v>1198.8</v>
      </c>
      <c r="G7" s="1" t="str">
        <f>VLOOKUP(InputData[[#This Row],[CUSTOMER NAME]],Country[],2,0)</f>
        <v>India</v>
      </c>
      <c r="H7" s="1" t="str">
        <f>VLOOKUP(InputData[[#This Row],[CUSTOMER NAME]],Country[],3,0)</f>
        <v>North</v>
      </c>
      <c r="I7" s="1" t="str">
        <f>TEXT(InputData[[#This Row],[DATE]],"mmmm")</f>
        <v>January</v>
      </c>
      <c r="J7" s="1" t="str">
        <f>TEXT(InputData[[#This Row],[DATE]],"ddd")</f>
        <v>Sat</v>
      </c>
      <c r="K7" s="14">
        <f>WEEKNUM(InputData[[#This Row],[DATE]])</f>
        <v>1</v>
      </c>
      <c r="N7" s="3" t="s">
        <v>50</v>
      </c>
      <c r="O7" t="s">
        <v>145</v>
      </c>
      <c r="R7" s="3" t="s">
        <v>76</v>
      </c>
      <c r="S7" s="1" t="str">
        <f t="shared" ref="S7:S70" si="0">_xlfn.XLOOKUP(R7,$N$5:$N$64,$O$5:$O$64,"Not Found")</f>
        <v>Overton Retail Solutions</v>
      </c>
      <c r="V7" s="11" t="s">
        <v>3</v>
      </c>
      <c r="W7" t="s">
        <v>231</v>
      </c>
      <c r="Z7" s="11" t="s">
        <v>22</v>
      </c>
      <c r="AA7" s="1" t="str">
        <f t="shared" ref="AA7:AA70" si="1">_xlfn.XLOOKUP(Z7,$V$5:$V$48,$W$5:$W$48,"Not Found",0)</f>
        <v>Hose Clamp 32mm</v>
      </c>
      <c r="AF7" s="1" t="s">
        <v>173</v>
      </c>
    </row>
    <row r="8" spans="1:32" x14ac:dyDescent="0.3">
      <c r="A8" s="10">
        <v>44198</v>
      </c>
      <c r="B8" s="3" t="s">
        <v>145</v>
      </c>
      <c r="C8" s="11" t="s">
        <v>261</v>
      </c>
      <c r="D8" s="12">
        <v>119.7</v>
      </c>
      <c r="E8" s="1">
        <v>1</v>
      </c>
      <c r="F8" s="13">
        <f>InputData[[#This Row],[QUANTITY]]*InputData[[#This Row],[UNIT PRICE (R)]]</f>
        <v>119.7</v>
      </c>
      <c r="G8" s="1" t="str">
        <f>VLOOKUP(InputData[[#This Row],[CUSTOMER NAME]],Country[],2,0)</f>
        <v>India</v>
      </c>
      <c r="H8" s="1" t="str">
        <f>VLOOKUP(InputData[[#This Row],[CUSTOMER NAME]],Country[],3,0)</f>
        <v>Northeast</v>
      </c>
      <c r="I8" s="1" t="str">
        <f>TEXT(InputData[[#This Row],[DATE]],"mmmm")</f>
        <v>January</v>
      </c>
      <c r="J8" s="1" t="str">
        <f>TEXT(InputData[[#This Row],[DATE]],"ddd")</f>
        <v>Sat</v>
      </c>
      <c r="K8" s="14">
        <f>WEEKNUM(InputData[[#This Row],[DATE]])</f>
        <v>1</v>
      </c>
      <c r="N8" s="3" t="s">
        <v>51</v>
      </c>
      <c r="O8" t="s">
        <v>146</v>
      </c>
      <c r="R8" s="3" t="s">
        <v>95</v>
      </c>
      <c r="S8" s="1" t="str">
        <f t="shared" si="0"/>
        <v>Cobalt Point Supplies</v>
      </c>
      <c r="V8" s="11" t="s">
        <v>4</v>
      </c>
      <c r="W8" t="s">
        <v>232</v>
      </c>
      <c r="Z8" s="11" t="s">
        <v>38</v>
      </c>
      <c r="AA8" s="1" t="str">
        <f t="shared" si="1"/>
        <v>Cable Tie 300mm</v>
      </c>
      <c r="AF8" s="1" t="s">
        <v>145</v>
      </c>
    </row>
    <row r="9" spans="1:32" x14ac:dyDescent="0.3">
      <c r="A9" s="10">
        <v>44198</v>
      </c>
      <c r="B9" s="3" t="s">
        <v>147</v>
      </c>
      <c r="C9" s="11" t="s">
        <v>243</v>
      </c>
      <c r="D9" s="12">
        <v>15.719999999999999</v>
      </c>
      <c r="E9" s="1">
        <v>2</v>
      </c>
      <c r="F9" s="13">
        <f>InputData[[#This Row],[QUANTITY]]*InputData[[#This Row],[UNIT PRICE (R)]]</f>
        <v>31.439999999999998</v>
      </c>
      <c r="G9" s="1" t="str">
        <f>VLOOKUP(InputData[[#This Row],[CUSTOMER NAME]],Country[],2,0)</f>
        <v>India</v>
      </c>
      <c r="H9" s="1" t="str">
        <f>VLOOKUP(InputData[[#This Row],[CUSTOMER NAME]],Country[],3,0)</f>
        <v>Northeast</v>
      </c>
      <c r="I9" s="1" t="str">
        <f>TEXT(InputData[[#This Row],[DATE]],"mmmm")</f>
        <v>January</v>
      </c>
      <c r="J9" s="1" t="str">
        <f>TEXT(InputData[[#This Row],[DATE]],"ddd")</f>
        <v>Sat</v>
      </c>
      <c r="K9" s="14">
        <f>WEEKNUM(InputData[[#This Row],[DATE]])</f>
        <v>1</v>
      </c>
      <c r="N9" s="3" t="s">
        <v>52</v>
      </c>
      <c r="O9" t="s">
        <v>147</v>
      </c>
      <c r="R9" s="3" t="s">
        <v>50</v>
      </c>
      <c r="S9" s="1" t="str">
        <f t="shared" si="0"/>
        <v>Meridian Hardware Co.</v>
      </c>
      <c r="V9" s="11" t="s">
        <v>5</v>
      </c>
      <c r="W9" t="s">
        <v>233</v>
      </c>
      <c r="Z9" s="11" t="s">
        <v>33</v>
      </c>
      <c r="AA9" s="1" t="str">
        <f t="shared" si="1"/>
        <v>Shelf Bracket 200mm</v>
      </c>
      <c r="AF9" s="1" t="s">
        <v>147</v>
      </c>
    </row>
    <row r="10" spans="1:32" x14ac:dyDescent="0.3">
      <c r="A10" s="10">
        <v>44198</v>
      </c>
      <c r="B10" s="3" t="s">
        <v>177</v>
      </c>
      <c r="C10" s="11" t="s">
        <v>238</v>
      </c>
      <c r="D10" s="12">
        <v>164.28</v>
      </c>
      <c r="E10" s="1">
        <v>7</v>
      </c>
      <c r="F10" s="13">
        <f>InputData[[#This Row],[QUANTITY]]*InputData[[#This Row],[UNIT PRICE (R)]]</f>
        <v>1149.96</v>
      </c>
      <c r="G10" s="1" t="str">
        <f>VLOOKUP(InputData[[#This Row],[CUSTOMER NAME]],Country[],2,0)</f>
        <v>India</v>
      </c>
      <c r="H10" s="1" t="str">
        <f>VLOOKUP(InputData[[#This Row],[CUSTOMER NAME]],Country[],3,0)</f>
        <v>North</v>
      </c>
      <c r="I10" s="1" t="str">
        <f>TEXT(InputData[[#This Row],[DATE]],"mmmm")</f>
        <v>January</v>
      </c>
      <c r="J10" s="1" t="str">
        <f>TEXT(InputData[[#This Row],[DATE]],"ddd")</f>
        <v>Sat</v>
      </c>
      <c r="K10" s="14">
        <f>WEEKNUM(InputData[[#This Row],[DATE]])</f>
        <v>1</v>
      </c>
      <c r="N10" s="3" t="s">
        <v>53</v>
      </c>
      <c r="O10" t="s">
        <v>148</v>
      </c>
      <c r="R10" s="3" t="s">
        <v>52</v>
      </c>
      <c r="S10" s="1" t="str">
        <f t="shared" si="0"/>
        <v>Harrow Distribution</v>
      </c>
      <c r="V10" s="11" t="s">
        <v>6</v>
      </c>
      <c r="W10" t="s">
        <v>234</v>
      </c>
      <c r="Z10" s="11" t="s">
        <v>15</v>
      </c>
      <c r="AA10" s="1" t="str">
        <f t="shared" si="1"/>
        <v>Rivet 4mm</v>
      </c>
      <c r="AF10" s="1" t="s">
        <v>177</v>
      </c>
    </row>
    <row r="11" spans="1:32" x14ac:dyDescent="0.3">
      <c r="A11" s="10">
        <v>44198</v>
      </c>
      <c r="B11" s="3" t="s">
        <v>180</v>
      </c>
      <c r="C11" s="11" t="s">
        <v>241</v>
      </c>
      <c r="D11" s="12">
        <v>122.08</v>
      </c>
      <c r="E11" s="1">
        <v>6</v>
      </c>
      <c r="F11" s="13">
        <f>InputData[[#This Row],[QUANTITY]]*InputData[[#This Row],[UNIT PRICE (R)]]</f>
        <v>732.48</v>
      </c>
      <c r="G11" s="1" t="str">
        <f>VLOOKUP(InputData[[#This Row],[CUSTOMER NAME]],Country[],2,0)</f>
        <v>India</v>
      </c>
      <c r="H11" s="1" t="str">
        <f>VLOOKUP(InputData[[#This Row],[CUSTOMER NAME]],Country[],3,0)</f>
        <v>Northeast</v>
      </c>
      <c r="I11" s="1" t="str">
        <f>TEXT(InputData[[#This Row],[DATE]],"mmmm")</f>
        <v>January</v>
      </c>
      <c r="J11" s="1" t="str">
        <f>TEXT(InputData[[#This Row],[DATE]],"ddd")</f>
        <v>Sat</v>
      </c>
      <c r="K11" s="14">
        <f>WEEKNUM(InputData[[#This Row],[DATE]])</f>
        <v>1</v>
      </c>
      <c r="N11" s="3" t="s">
        <v>54</v>
      </c>
      <c r="O11" t="s">
        <v>149</v>
      </c>
      <c r="R11" s="3" t="s">
        <v>99</v>
      </c>
      <c r="S11" s="1" t="str">
        <f t="shared" si="0"/>
        <v>Northfield Traders</v>
      </c>
      <c r="V11" s="11" t="s">
        <v>7</v>
      </c>
      <c r="W11" t="s">
        <v>235</v>
      </c>
      <c r="Z11" s="11" t="s">
        <v>10</v>
      </c>
      <c r="AA11" s="1" t="str">
        <f t="shared" si="1"/>
        <v>Self-Tapping Screw 25mm</v>
      </c>
      <c r="AF11" s="1" t="s">
        <v>180</v>
      </c>
    </row>
    <row r="12" spans="1:32" x14ac:dyDescent="0.3">
      <c r="A12" s="10">
        <v>44198</v>
      </c>
      <c r="B12" s="3" t="s">
        <v>181</v>
      </c>
      <c r="C12" s="11" t="s">
        <v>243</v>
      </c>
      <c r="D12" s="12">
        <v>15.719999999999999</v>
      </c>
      <c r="E12" s="1">
        <v>25</v>
      </c>
      <c r="F12" s="13">
        <f>InputData[[#This Row],[QUANTITY]]*InputData[[#This Row],[UNIT PRICE (R)]]</f>
        <v>393</v>
      </c>
      <c r="G12" s="1" t="str">
        <f>VLOOKUP(InputData[[#This Row],[CUSTOMER NAME]],Country[],2,0)</f>
        <v>Germany</v>
      </c>
      <c r="H12" s="1" t="str">
        <f>VLOOKUP(InputData[[#This Row],[CUSTOMER NAME]],Country[],3,0)</f>
        <v>Export</v>
      </c>
      <c r="I12" s="1" t="str">
        <f>TEXT(InputData[[#This Row],[DATE]],"mmmm")</f>
        <v>January</v>
      </c>
      <c r="J12" s="1" t="str">
        <f>TEXT(InputData[[#This Row],[DATE]],"ddd")</f>
        <v>Sat</v>
      </c>
      <c r="K12" s="14">
        <f>WEEKNUM(InputData[[#This Row],[DATE]])</f>
        <v>1</v>
      </c>
      <c r="N12" s="3" t="s">
        <v>55</v>
      </c>
      <c r="O12" t="s">
        <v>150</v>
      </c>
      <c r="R12" s="3" t="s">
        <v>102</v>
      </c>
      <c r="S12" s="1" t="str">
        <f t="shared" si="0"/>
        <v>Kingsmead Distribution</v>
      </c>
      <c r="V12" s="11" t="s">
        <v>8</v>
      </c>
      <c r="W12" t="s">
        <v>236</v>
      </c>
      <c r="Z12" s="11" t="s">
        <v>13</v>
      </c>
      <c r="AA12" s="1" t="str">
        <f t="shared" si="1"/>
        <v>Machine Screw M4</v>
      </c>
      <c r="AF12" s="1" t="s">
        <v>181</v>
      </c>
    </row>
    <row r="13" spans="1:32" x14ac:dyDescent="0.3">
      <c r="A13" s="10">
        <v>44199</v>
      </c>
      <c r="B13" s="3" t="s">
        <v>176</v>
      </c>
      <c r="C13" s="11" t="s">
        <v>242</v>
      </c>
      <c r="D13" s="12">
        <v>146.72</v>
      </c>
      <c r="E13" s="1">
        <v>21</v>
      </c>
      <c r="F13" s="13">
        <f>InputData[[#This Row],[QUANTITY]]*InputData[[#This Row],[UNIT PRICE (R)]]</f>
        <v>3081.12</v>
      </c>
      <c r="G13" s="1" t="str">
        <f>VLOOKUP(InputData[[#This Row],[CUSTOMER NAME]],Country[],2,0)</f>
        <v>India</v>
      </c>
      <c r="H13" s="1" t="str">
        <f>VLOOKUP(InputData[[#This Row],[CUSTOMER NAME]],Country[],3,0)</f>
        <v>Northeast</v>
      </c>
      <c r="I13" s="1" t="str">
        <f>TEXT(InputData[[#This Row],[DATE]],"mmmm")</f>
        <v>January</v>
      </c>
      <c r="J13" s="1" t="str">
        <f>TEXT(InputData[[#This Row],[DATE]],"ddd")</f>
        <v>Sun</v>
      </c>
      <c r="K13" s="14">
        <f>WEEKNUM(InputData[[#This Row],[DATE]])</f>
        <v>2</v>
      </c>
      <c r="N13" s="3" t="s">
        <v>56</v>
      </c>
      <c r="O13" t="s">
        <v>151</v>
      </c>
      <c r="R13" s="3" t="s">
        <v>103</v>
      </c>
      <c r="S13" s="1" t="str">
        <f t="shared" si="0"/>
        <v>Vesterly Traders</v>
      </c>
      <c r="V13" s="11" t="s">
        <v>9</v>
      </c>
      <c r="W13" t="s">
        <v>237</v>
      </c>
      <c r="Z13" s="11" t="s">
        <v>15</v>
      </c>
      <c r="AA13" s="1" t="str">
        <f t="shared" si="1"/>
        <v>Rivet 4mm</v>
      </c>
      <c r="AF13" s="1" t="s">
        <v>176</v>
      </c>
    </row>
    <row r="14" spans="1:32" x14ac:dyDescent="0.3">
      <c r="A14" s="10">
        <v>44199</v>
      </c>
      <c r="B14" s="3" t="s">
        <v>160</v>
      </c>
      <c r="C14" s="11" t="s">
        <v>271</v>
      </c>
      <c r="D14" s="12">
        <v>83.08</v>
      </c>
      <c r="E14" s="1">
        <v>9</v>
      </c>
      <c r="F14" s="13">
        <f>InputData[[#This Row],[QUANTITY]]*InputData[[#This Row],[UNIT PRICE (R)]]</f>
        <v>747.72</v>
      </c>
      <c r="G14" s="1" t="str">
        <f>VLOOKUP(InputData[[#This Row],[CUSTOMER NAME]],Country[],2,0)</f>
        <v>India</v>
      </c>
      <c r="H14" s="1" t="str">
        <f>VLOOKUP(InputData[[#This Row],[CUSTOMER NAME]],Country[],3,0)</f>
        <v>Western</v>
      </c>
      <c r="I14" s="1" t="str">
        <f>TEXT(InputData[[#This Row],[DATE]],"mmmm")</f>
        <v>January</v>
      </c>
      <c r="J14" s="1" t="str">
        <f>TEXT(InputData[[#This Row],[DATE]],"ddd")</f>
        <v>Sun</v>
      </c>
      <c r="K14" s="14">
        <f>WEEKNUM(InputData[[#This Row],[DATE]])</f>
        <v>2</v>
      </c>
      <c r="N14" s="3" t="s">
        <v>57</v>
      </c>
      <c r="O14" t="s">
        <v>152</v>
      </c>
      <c r="R14" s="3" t="s">
        <v>98</v>
      </c>
      <c r="S14" s="1" t="str">
        <f t="shared" si="0"/>
        <v>Alderman Retail Group</v>
      </c>
      <c r="V14" s="11" t="s">
        <v>10</v>
      </c>
      <c r="W14" t="s">
        <v>238</v>
      </c>
      <c r="Z14" s="11" t="s">
        <v>14</v>
      </c>
      <c r="AA14" s="1" t="str">
        <f t="shared" si="1"/>
        <v>Cap Screw M6</v>
      </c>
      <c r="AF14" s="1" t="s">
        <v>160</v>
      </c>
    </row>
    <row r="15" spans="1:32" x14ac:dyDescent="0.3">
      <c r="A15" s="10">
        <v>44199</v>
      </c>
      <c r="B15" s="3" t="s">
        <v>162</v>
      </c>
      <c r="C15" s="11" t="s">
        <v>266</v>
      </c>
      <c r="D15" s="12">
        <v>79.92</v>
      </c>
      <c r="E15" s="1">
        <v>31</v>
      </c>
      <c r="F15" s="13">
        <f>InputData[[#This Row],[QUANTITY]]*InputData[[#This Row],[UNIT PRICE (R)]]</f>
        <v>2477.52</v>
      </c>
      <c r="G15" s="1" t="str">
        <f>VLOOKUP(InputData[[#This Row],[CUSTOMER NAME]],Country[],2,0)</f>
        <v>United Kingdom</v>
      </c>
      <c r="H15" s="1" t="str">
        <f>VLOOKUP(InputData[[#This Row],[CUSTOMER NAME]],Country[],3,0)</f>
        <v>Export</v>
      </c>
      <c r="I15" s="1" t="str">
        <f>TEXT(InputData[[#This Row],[DATE]],"mmmm")</f>
        <v>January</v>
      </c>
      <c r="J15" s="1" t="str">
        <f>TEXT(InputData[[#This Row],[DATE]],"ddd")</f>
        <v>Sun</v>
      </c>
      <c r="K15" s="14">
        <f>WEEKNUM(InputData[[#This Row],[DATE]])</f>
        <v>2</v>
      </c>
      <c r="N15" s="3" t="s">
        <v>58</v>
      </c>
      <c r="O15" t="s">
        <v>153</v>
      </c>
      <c r="R15" s="3" t="s">
        <v>65</v>
      </c>
      <c r="S15" s="1" t="str">
        <f t="shared" si="0"/>
        <v>Talbot Street Merchants</v>
      </c>
      <c r="V15" s="11" t="s">
        <v>11</v>
      </c>
      <c r="W15" t="s">
        <v>239</v>
      </c>
      <c r="Z15" s="11" t="s">
        <v>43</v>
      </c>
      <c r="AA15" s="1" t="str">
        <f t="shared" si="1"/>
        <v>Copper Pipe Fitting 15mm</v>
      </c>
      <c r="AF15" s="1" t="s">
        <v>162</v>
      </c>
    </row>
    <row r="16" spans="1:32" x14ac:dyDescent="0.3">
      <c r="A16" s="10">
        <v>44199</v>
      </c>
      <c r="B16" s="3" t="s">
        <v>179</v>
      </c>
      <c r="C16" s="11" t="s">
        <v>232</v>
      </c>
      <c r="D16" s="12">
        <v>48.84</v>
      </c>
      <c r="E16" s="1">
        <v>5</v>
      </c>
      <c r="F16" s="13">
        <f>InputData[[#This Row],[QUANTITY]]*InputData[[#This Row],[UNIT PRICE (R)]]</f>
        <v>244.20000000000002</v>
      </c>
      <c r="G16" s="1" t="str">
        <f>VLOOKUP(InputData[[#This Row],[CUSTOMER NAME]],Country[],2,0)</f>
        <v>United States of America</v>
      </c>
      <c r="H16" s="1" t="str">
        <f>VLOOKUP(InputData[[#This Row],[CUSTOMER NAME]],Country[],3,0)</f>
        <v>Export</v>
      </c>
      <c r="I16" s="1" t="str">
        <f>TEXT(InputData[[#This Row],[DATE]],"mmmm")</f>
        <v>January</v>
      </c>
      <c r="J16" s="1" t="str">
        <f>TEXT(InputData[[#This Row],[DATE]],"ddd")</f>
        <v>Sun</v>
      </c>
      <c r="K16" s="14">
        <f>WEEKNUM(InputData[[#This Row],[DATE]])</f>
        <v>2</v>
      </c>
      <c r="N16" s="3" t="s">
        <v>59</v>
      </c>
      <c r="O16" t="s">
        <v>154</v>
      </c>
      <c r="R16" s="3" t="s">
        <v>67</v>
      </c>
      <c r="S16" s="1" t="str">
        <f t="shared" si="0"/>
        <v>Ironbridge Trading Co.</v>
      </c>
      <c r="V16" s="11" t="s">
        <v>12</v>
      </c>
      <c r="W16" t="s">
        <v>240</v>
      </c>
      <c r="Z16" s="11" t="s">
        <v>38</v>
      </c>
      <c r="AA16" s="1" t="str">
        <f t="shared" si="1"/>
        <v>Cable Tie 300mm</v>
      </c>
      <c r="AF16" s="1" t="s">
        <v>179</v>
      </c>
    </row>
    <row r="17" spans="1:32" x14ac:dyDescent="0.3">
      <c r="A17" s="10">
        <v>44200</v>
      </c>
      <c r="B17" s="3" t="s">
        <v>174</v>
      </c>
      <c r="C17" s="11" t="s">
        <v>257</v>
      </c>
      <c r="D17" s="12">
        <v>53.11</v>
      </c>
      <c r="E17" s="1">
        <v>1</v>
      </c>
      <c r="F17" s="13">
        <f>InputData[[#This Row],[QUANTITY]]*InputData[[#This Row],[UNIT PRICE (R)]]</f>
        <v>53.11</v>
      </c>
      <c r="G17" s="1" t="str">
        <f>VLOOKUP(InputData[[#This Row],[CUSTOMER NAME]],Country[],2,0)</f>
        <v>Pakistan</v>
      </c>
      <c r="H17" s="1" t="str">
        <f>VLOOKUP(InputData[[#This Row],[CUSTOMER NAME]],Country[],3,0)</f>
        <v>Export</v>
      </c>
      <c r="I17" s="1" t="str">
        <f>TEXT(InputData[[#This Row],[DATE]],"mmmm")</f>
        <v>January</v>
      </c>
      <c r="J17" s="1" t="str">
        <f>TEXT(InputData[[#This Row],[DATE]],"ddd")</f>
        <v>Mon</v>
      </c>
      <c r="K17" s="14">
        <f>WEEKNUM(InputData[[#This Row],[DATE]])</f>
        <v>2</v>
      </c>
      <c r="N17" s="3" t="s">
        <v>60</v>
      </c>
      <c r="O17" t="s">
        <v>155</v>
      </c>
      <c r="R17" s="3" t="s">
        <v>101</v>
      </c>
      <c r="S17" s="1" t="str">
        <f t="shared" si="0"/>
        <v>Hollowell Supply Co.</v>
      </c>
      <c r="V17" s="11" t="s">
        <v>13</v>
      </c>
      <c r="W17" t="s">
        <v>241</v>
      </c>
      <c r="Z17" s="11" t="s">
        <v>4</v>
      </c>
      <c r="AA17" s="1" t="str">
        <f t="shared" si="1"/>
        <v>Carriage Bolt M8</v>
      </c>
      <c r="AF17" s="1" t="s">
        <v>174</v>
      </c>
    </row>
    <row r="18" spans="1:32" x14ac:dyDescent="0.3">
      <c r="A18" s="10">
        <v>44200</v>
      </c>
      <c r="B18" s="3" t="s">
        <v>151</v>
      </c>
      <c r="C18" s="11" t="s">
        <v>240</v>
      </c>
      <c r="D18" s="12">
        <v>94.17</v>
      </c>
      <c r="E18" s="1">
        <v>8</v>
      </c>
      <c r="F18" s="13">
        <f>InputData[[#This Row],[QUANTITY]]*InputData[[#This Row],[UNIT PRICE (R)]]</f>
        <v>753.36</v>
      </c>
      <c r="G18" s="1" t="str">
        <f>VLOOKUP(InputData[[#This Row],[CUSTOMER NAME]],Country[],2,0)</f>
        <v>Russia</v>
      </c>
      <c r="H18" s="1" t="str">
        <f>VLOOKUP(InputData[[#This Row],[CUSTOMER NAME]],Country[],3,0)</f>
        <v>Export</v>
      </c>
      <c r="I18" s="1" t="str">
        <f>TEXT(InputData[[#This Row],[DATE]],"mmmm")</f>
        <v>January</v>
      </c>
      <c r="J18" s="1" t="str">
        <f>TEXT(InputData[[#This Row],[DATE]],"ddd")</f>
        <v>Mon</v>
      </c>
      <c r="K18" s="14">
        <f>WEEKNUM(InputData[[#This Row],[DATE]])</f>
        <v>2</v>
      </c>
      <c r="N18" s="3" t="s">
        <v>61</v>
      </c>
      <c r="O18" t="s">
        <v>156</v>
      </c>
      <c r="R18" s="3" t="s">
        <v>96</v>
      </c>
      <c r="S18" s="1" t="str">
        <f t="shared" si="0"/>
        <v>Draycott Wholesalers</v>
      </c>
      <c r="V18" s="11" t="s">
        <v>14</v>
      </c>
      <c r="W18" t="s">
        <v>242</v>
      </c>
      <c r="Z18" s="11" t="s">
        <v>29</v>
      </c>
      <c r="AA18" s="1" t="str">
        <f t="shared" si="1"/>
        <v>Butt Hinge 100mm</v>
      </c>
      <c r="AF18" s="1" t="s">
        <v>151</v>
      </c>
    </row>
    <row r="19" spans="1:32" x14ac:dyDescent="0.3">
      <c r="A19" s="10">
        <v>44200</v>
      </c>
      <c r="B19" s="3" t="s">
        <v>168</v>
      </c>
      <c r="C19" s="11" t="s">
        <v>263</v>
      </c>
      <c r="D19" s="12">
        <v>6.7</v>
      </c>
      <c r="E19" s="1">
        <v>12</v>
      </c>
      <c r="F19" s="13">
        <f>InputData[[#This Row],[QUANTITY]]*InputData[[#This Row],[UNIT PRICE (R)]]</f>
        <v>80.400000000000006</v>
      </c>
      <c r="G19" s="1" t="str">
        <f>VLOOKUP(InputData[[#This Row],[CUSTOMER NAME]],Country[],2,0)</f>
        <v>India</v>
      </c>
      <c r="H19" s="1" t="str">
        <f>VLOOKUP(InputData[[#This Row],[CUSTOMER NAME]],Country[],3,0)</f>
        <v>Northeast</v>
      </c>
      <c r="I19" s="1" t="str">
        <f>TEXT(InputData[[#This Row],[DATE]],"mmmm")</f>
        <v>January</v>
      </c>
      <c r="J19" s="1" t="str">
        <f>TEXT(InputData[[#This Row],[DATE]],"ddd")</f>
        <v>Mon</v>
      </c>
      <c r="K19" s="14">
        <f>WEEKNUM(InputData[[#This Row],[DATE]])</f>
        <v>2</v>
      </c>
      <c r="N19" s="3" t="s">
        <v>62</v>
      </c>
      <c r="O19" t="s">
        <v>157</v>
      </c>
      <c r="R19" s="3" t="s">
        <v>56</v>
      </c>
      <c r="S19" s="1" t="str">
        <f t="shared" si="0"/>
        <v>Northgate Industries</v>
      </c>
      <c r="V19" s="11" t="s">
        <v>15</v>
      </c>
      <c r="W19" t="s">
        <v>243</v>
      </c>
      <c r="Z19" s="11" t="s">
        <v>12</v>
      </c>
      <c r="AA19" s="1" t="str">
        <f t="shared" si="1"/>
        <v>Drywall Screw 30mm</v>
      </c>
      <c r="AF19" s="1" t="s">
        <v>168</v>
      </c>
    </row>
    <row r="20" spans="1:32" x14ac:dyDescent="0.3">
      <c r="A20" s="10">
        <v>44202</v>
      </c>
      <c r="B20" s="3" t="s">
        <v>148</v>
      </c>
      <c r="C20" s="11" t="s">
        <v>260</v>
      </c>
      <c r="D20" s="12">
        <v>117.48</v>
      </c>
      <c r="E20" s="1">
        <v>9</v>
      </c>
      <c r="F20" s="13">
        <f>InputData[[#This Row],[QUANTITY]]*InputData[[#This Row],[UNIT PRICE (R)]]</f>
        <v>1057.32</v>
      </c>
      <c r="G20" s="1" t="str">
        <f>VLOOKUP(InputData[[#This Row],[CUSTOMER NAME]],Country[],2,0)</f>
        <v>Pakistan</v>
      </c>
      <c r="H20" s="1" t="str">
        <f>VLOOKUP(InputData[[#This Row],[CUSTOMER NAME]],Country[],3,0)</f>
        <v>Export</v>
      </c>
      <c r="I20" s="1" t="str">
        <f>TEXT(InputData[[#This Row],[DATE]],"mmmm")</f>
        <v>January</v>
      </c>
      <c r="J20" s="1" t="str">
        <f>TEXT(InputData[[#This Row],[DATE]],"ddd")</f>
        <v>Wed</v>
      </c>
      <c r="K20" s="14">
        <f>WEEKNUM(InputData[[#This Row],[DATE]])</f>
        <v>2</v>
      </c>
      <c r="N20" s="3" t="s">
        <v>63</v>
      </c>
      <c r="O20" t="s">
        <v>158</v>
      </c>
      <c r="R20" s="3" t="s">
        <v>73</v>
      </c>
      <c r="S20" s="1" t="str">
        <f t="shared" si="0"/>
        <v>Ashworth Trading Group</v>
      </c>
      <c r="V20" s="11" t="s">
        <v>16</v>
      </c>
      <c r="W20" t="s">
        <v>244</v>
      </c>
      <c r="Z20" s="11" t="s">
        <v>35</v>
      </c>
      <c r="AA20" s="1" t="str">
        <f t="shared" si="1"/>
        <v>T-Bracket 100mm</v>
      </c>
      <c r="AF20" s="1" t="s">
        <v>148</v>
      </c>
    </row>
    <row r="21" spans="1:32" x14ac:dyDescent="0.3">
      <c r="A21" s="10">
        <v>44204</v>
      </c>
      <c r="B21" s="3" t="s">
        <v>151</v>
      </c>
      <c r="C21" s="11" t="s">
        <v>247</v>
      </c>
      <c r="D21" s="12">
        <v>210</v>
      </c>
      <c r="E21" s="1">
        <v>14</v>
      </c>
      <c r="F21" s="13">
        <f>InputData[[#This Row],[QUANTITY]]*InputData[[#This Row],[UNIT PRICE (R)]]</f>
        <v>2940</v>
      </c>
      <c r="G21" s="1" t="str">
        <f>VLOOKUP(InputData[[#This Row],[CUSTOMER NAME]],Country[],2,0)</f>
        <v>Russia</v>
      </c>
      <c r="H21" s="1" t="str">
        <f>VLOOKUP(InputData[[#This Row],[CUSTOMER NAME]],Country[],3,0)</f>
        <v>Export</v>
      </c>
      <c r="I21" s="1" t="str">
        <f>TEXT(InputData[[#This Row],[DATE]],"mmmm")</f>
        <v>January</v>
      </c>
      <c r="J21" s="1" t="str">
        <f>TEXT(InputData[[#This Row],[DATE]],"ddd")</f>
        <v>Fri</v>
      </c>
      <c r="K21" s="14">
        <f>WEEKNUM(InputData[[#This Row],[DATE]])</f>
        <v>2</v>
      </c>
      <c r="N21" s="3" t="s">
        <v>64</v>
      </c>
      <c r="O21" t="s">
        <v>159</v>
      </c>
      <c r="R21" s="3" t="s">
        <v>53</v>
      </c>
      <c r="S21" s="1" t="str">
        <f t="shared" si="0"/>
        <v>Vantage Point Retailers</v>
      </c>
      <c r="V21" s="11" t="s">
        <v>17</v>
      </c>
      <c r="W21" t="s">
        <v>245</v>
      </c>
      <c r="Z21" s="11" t="s">
        <v>32</v>
      </c>
      <c r="AA21" s="1" t="str">
        <f t="shared" si="1"/>
        <v>Corner Bracket 50mm</v>
      </c>
      <c r="AF21" s="1" t="s">
        <v>143</v>
      </c>
    </row>
    <row r="22" spans="1:32" x14ac:dyDescent="0.3">
      <c r="A22" s="10">
        <v>44205</v>
      </c>
      <c r="B22" s="3" t="s">
        <v>143</v>
      </c>
      <c r="C22" s="11" t="s">
        <v>235</v>
      </c>
      <c r="D22" s="12">
        <v>47.730000000000004</v>
      </c>
      <c r="E22" s="1">
        <v>26</v>
      </c>
      <c r="F22" s="13">
        <f>InputData[[#This Row],[QUANTITY]]*InputData[[#This Row],[UNIT PRICE (R)]]</f>
        <v>1240.98</v>
      </c>
      <c r="G22" s="1" t="str">
        <f>VLOOKUP(InputData[[#This Row],[CUSTOMER NAME]],Country[],2,0)</f>
        <v>Nigeria</v>
      </c>
      <c r="H22" s="1" t="str">
        <f>VLOOKUP(InputData[[#This Row],[CUSTOMER NAME]],Country[],3,0)</f>
        <v>Export</v>
      </c>
      <c r="I22" s="1" t="str">
        <f>TEXT(InputData[[#This Row],[DATE]],"mmmm")</f>
        <v>January</v>
      </c>
      <c r="J22" s="1" t="str">
        <f>TEXT(InputData[[#This Row],[DATE]],"ddd")</f>
        <v>Sat</v>
      </c>
      <c r="K22" s="14">
        <f>WEEKNUM(InputData[[#This Row],[DATE]])</f>
        <v>2</v>
      </c>
      <c r="N22" s="3" t="s">
        <v>65</v>
      </c>
      <c r="O22" t="s">
        <v>160</v>
      </c>
      <c r="R22" s="3" t="s">
        <v>56</v>
      </c>
      <c r="S22" s="1" t="str">
        <f t="shared" si="0"/>
        <v>Northgate Industries</v>
      </c>
      <c r="V22" s="11" t="s">
        <v>18</v>
      </c>
      <c r="W22" t="s">
        <v>246</v>
      </c>
      <c r="Z22" s="11" t="s">
        <v>19</v>
      </c>
      <c r="AA22" s="1" t="str">
        <f t="shared" si="1"/>
        <v>Anchor Bolt M10</v>
      </c>
      <c r="AF22" s="1" t="s">
        <v>158</v>
      </c>
    </row>
    <row r="23" spans="1:32" x14ac:dyDescent="0.3">
      <c r="A23" s="10">
        <v>44205</v>
      </c>
      <c r="B23" s="3" t="s">
        <v>147</v>
      </c>
      <c r="C23" s="11" t="s">
        <v>259</v>
      </c>
      <c r="D23" s="12">
        <v>104.16</v>
      </c>
      <c r="E23" s="1">
        <v>1</v>
      </c>
      <c r="F23" s="13">
        <f>InputData[[#This Row],[QUANTITY]]*InputData[[#This Row],[UNIT PRICE (R)]]</f>
        <v>104.16</v>
      </c>
      <c r="G23" s="1" t="str">
        <f>VLOOKUP(InputData[[#This Row],[CUSTOMER NAME]],Country[],2,0)</f>
        <v>India</v>
      </c>
      <c r="H23" s="1" t="str">
        <f>VLOOKUP(InputData[[#This Row],[CUSTOMER NAME]],Country[],3,0)</f>
        <v>Northeast</v>
      </c>
      <c r="I23" s="1" t="str">
        <f>TEXT(InputData[[#This Row],[DATE]],"mmmm")</f>
        <v>January</v>
      </c>
      <c r="J23" s="1" t="str">
        <f>TEXT(InputData[[#This Row],[DATE]],"ddd")</f>
        <v>Sat</v>
      </c>
      <c r="K23" s="14">
        <f>WEEKNUM(InputData[[#This Row],[DATE]])</f>
        <v>2</v>
      </c>
      <c r="N23" s="3" t="s">
        <v>66</v>
      </c>
      <c r="O23" t="s">
        <v>161</v>
      </c>
      <c r="R23" s="3" t="s">
        <v>48</v>
      </c>
      <c r="S23" s="1" t="str">
        <f t="shared" si="0"/>
        <v>Thornwell Trading</v>
      </c>
      <c r="V23" s="11" t="s">
        <v>19</v>
      </c>
      <c r="W23" t="s">
        <v>247</v>
      </c>
      <c r="Z23" s="11" t="s">
        <v>7</v>
      </c>
      <c r="AA23" s="1" t="str">
        <f t="shared" si="1"/>
        <v>Lock Washer M8</v>
      </c>
      <c r="AF23" s="1" t="s">
        <v>161</v>
      </c>
    </row>
    <row r="24" spans="1:32" x14ac:dyDescent="0.3">
      <c r="A24" s="10">
        <v>44205</v>
      </c>
      <c r="B24" s="3" t="s">
        <v>176</v>
      </c>
      <c r="C24" s="11" t="s">
        <v>253</v>
      </c>
      <c r="D24" s="12">
        <v>8.33</v>
      </c>
      <c r="E24" s="1">
        <v>4</v>
      </c>
      <c r="F24" s="13">
        <f>InputData[[#This Row],[QUANTITY]]*InputData[[#This Row],[UNIT PRICE (R)]]</f>
        <v>33.32</v>
      </c>
      <c r="G24" s="1" t="str">
        <f>VLOOKUP(InputData[[#This Row],[CUSTOMER NAME]],Country[],2,0)</f>
        <v>India</v>
      </c>
      <c r="H24" s="1" t="str">
        <f>VLOOKUP(InputData[[#This Row],[CUSTOMER NAME]],Country[],3,0)</f>
        <v>Northeast</v>
      </c>
      <c r="I24" s="1" t="str">
        <f>TEXT(InputData[[#This Row],[DATE]],"mmmm")</f>
        <v>January</v>
      </c>
      <c r="J24" s="1" t="str">
        <f>TEXT(InputData[[#This Row],[DATE]],"ddd")</f>
        <v>Sat</v>
      </c>
      <c r="K24" s="14">
        <f>WEEKNUM(InputData[[#This Row],[DATE]])</f>
        <v>2</v>
      </c>
      <c r="N24" s="3" t="s">
        <v>67</v>
      </c>
      <c r="O24" t="s">
        <v>162</v>
      </c>
      <c r="R24" s="3" t="s">
        <v>52</v>
      </c>
      <c r="S24" s="1" t="str">
        <f t="shared" si="0"/>
        <v>Harrow Distribution</v>
      </c>
      <c r="V24" s="11" t="s">
        <v>20</v>
      </c>
      <c r="W24" t="s">
        <v>248</v>
      </c>
      <c r="Z24" s="11" t="s">
        <v>31</v>
      </c>
      <c r="AA24" s="1" t="str">
        <f t="shared" si="1"/>
        <v>Gate Bolt 150mm</v>
      </c>
      <c r="AF24" s="1" t="s">
        <v>178</v>
      </c>
    </row>
    <row r="25" spans="1:32" x14ac:dyDescent="0.3">
      <c r="A25" s="10">
        <v>44205</v>
      </c>
      <c r="B25" s="3" t="s">
        <v>158</v>
      </c>
      <c r="C25" s="11" t="s">
        <v>259</v>
      </c>
      <c r="D25" s="12">
        <v>104.16</v>
      </c>
      <c r="E25" s="1">
        <v>29</v>
      </c>
      <c r="F25" s="13">
        <f>InputData[[#This Row],[QUANTITY]]*InputData[[#This Row],[UNIT PRICE (R)]]</f>
        <v>3020.64</v>
      </c>
      <c r="G25" s="1" t="str">
        <f>VLOOKUP(InputData[[#This Row],[CUSTOMER NAME]],Country[],2,0)</f>
        <v>Russia</v>
      </c>
      <c r="H25" s="1" t="str">
        <f>VLOOKUP(InputData[[#This Row],[CUSTOMER NAME]],Country[],3,0)</f>
        <v>Export</v>
      </c>
      <c r="I25" s="1" t="str">
        <f>TEXT(InputData[[#This Row],[DATE]],"mmmm")</f>
        <v>January</v>
      </c>
      <c r="J25" s="1" t="str">
        <f>TEXT(InputData[[#This Row],[DATE]],"ddd")</f>
        <v>Sat</v>
      </c>
      <c r="K25" s="14">
        <f>WEEKNUM(InputData[[#This Row],[DATE]])</f>
        <v>2</v>
      </c>
      <c r="N25" s="3" t="s">
        <v>68</v>
      </c>
      <c r="O25" t="s">
        <v>163</v>
      </c>
      <c r="R25" s="3" t="s">
        <v>98</v>
      </c>
      <c r="S25" s="1" t="str">
        <f t="shared" si="0"/>
        <v>Alderman Retail Group</v>
      </c>
      <c r="V25" s="11" t="s">
        <v>21</v>
      </c>
      <c r="W25" t="s">
        <v>249</v>
      </c>
      <c r="Z25" s="11" t="s">
        <v>25</v>
      </c>
      <c r="AA25" s="1" t="str">
        <f t="shared" si="1"/>
        <v>Turnbuckle M8</v>
      </c>
      <c r="AF25" s="1" t="s">
        <v>163</v>
      </c>
    </row>
    <row r="26" spans="1:32" x14ac:dyDescent="0.3">
      <c r="A26" s="10">
        <v>44205</v>
      </c>
      <c r="B26" s="3" t="s">
        <v>161</v>
      </c>
      <c r="C26" s="11" t="s">
        <v>268</v>
      </c>
      <c r="D26" s="12">
        <v>115.2</v>
      </c>
      <c r="E26" s="1">
        <v>28</v>
      </c>
      <c r="F26" s="13">
        <f>InputData[[#This Row],[QUANTITY]]*InputData[[#This Row],[UNIT PRICE (R)]]</f>
        <v>3225.6</v>
      </c>
      <c r="G26" s="1" t="str">
        <f>VLOOKUP(InputData[[#This Row],[CUSTOMER NAME]],Country[],2,0)</f>
        <v>India</v>
      </c>
      <c r="H26" s="1" t="str">
        <f>VLOOKUP(InputData[[#This Row],[CUSTOMER NAME]],Country[],3,0)</f>
        <v>Central</v>
      </c>
      <c r="I26" s="1" t="str">
        <f>TEXT(InputData[[#This Row],[DATE]],"mmmm")</f>
        <v>January</v>
      </c>
      <c r="J26" s="1" t="str">
        <f>TEXT(InputData[[#This Row],[DATE]],"ddd")</f>
        <v>Sat</v>
      </c>
      <c r="K26" s="14">
        <f>WEEKNUM(InputData[[#This Row],[DATE]])</f>
        <v>2</v>
      </c>
      <c r="N26" s="3" t="s">
        <v>69</v>
      </c>
      <c r="O26" t="s">
        <v>164</v>
      </c>
      <c r="R26" s="3" t="s">
        <v>63</v>
      </c>
      <c r="S26" s="1" t="str">
        <f t="shared" si="0"/>
        <v>Ovenden &amp; Sons</v>
      </c>
      <c r="V26" s="11" t="s">
        <v>22</v>
      </c>
      <c r="W26" t="s">
        <v>250</v>
      </c>
      <c r="Z26" s="11" t="s">
        <v>31</v>
      </c>
      <c r="AA26" s="1" t="str">
        <f t="shared" si="1"/>
        <v>Gate Bolt 150mm</v>
      </c>
      <c r="AF26" s="1" t="s">
        <v>153</v>
      </c>
    </row>
    <row r="27" spans="1:32" x14ac:dyDescent="0.3">
      <c r="A27" s="10">
        <v>44205</v>
      </c>
      <c r="B27" s="3" t="s">
        <v>162</v>
      </c>
      <c r="C27" s="11" t="s">
        <v>231</v>
      </c>
      <c r="D27" s="12">
        <v>80.94</v>
      </c>
      <c r="E27" s="1">
        <v>8</v>
      </c>
      <c r="F27" s="13">
        <f>InputData[[#This Row],[QUANTITY]]*InputData[[#This Row],[UNIT PRICE (R)]]</f>
        <v>647.52</v>
      </c>
      <c r="G27" s="1" t="str">
        <f>VLOOKUP(InputData[[#This Row],[CUSTOMER NAME]],Country[],2,0)</f>
        <v>United Kingdom</v>
      </c>
      <c r="H27" s="1" t="str">
        <f>VLOOKUP(InputData[[#This Row],[CUSTOMER NAME]],Country[],3,0)</f>
        <v>Export</v>
      </c>
      <c r="I27" s="1" t="str">
        <f>TEXT(InputData[[#This Row],[DATE]],"mmmm")</f>
        <v>January</v>
      </c>
      <c r="J27" s="1" t="str">
        <f>TEXT(InputData[[#This Row],[DATE]],"ddd")</f>
        <v>Sat</v>
      </c>
      <c r="K27" s="14">
        <f>WEEKNUM(InputData[[#This Row],[DATE]])</f>
        <v>2</v>
      </c>
      <c r="N27" s="3" t="s">
        <v>70</v>
      </c>
      <c r="O27" t="s">
        <v>165</v>
      </c>
      <c r="R27" s="3" t="s">
        <v>66</v>
      </c>
      <c r="S27" s="1" t="str">
        <f t="shared" si="0"/>
        <v>Whitfield Distributors</v>
      </c>
      <c r="V27" s="11" t="s">
        <v>23</v>
      </c>
      <c r="W27" t="s">
        <v>251</v>
      </c>
      <c r="Z27" s="11" t="s">
        <v>40</v>
      </c>
      <c r="AA27" s="1" t="str">
        <f t="shared" si="1"/>
        <v>Conduit Clamp 25mm</v>
      </c>
      <c r="AF27" s="1" t="s">
        <v>159</v>
      </c>
    </row>
    <row r="28" spans="1:32" x14ac:dyDescent="0.3">
      <c r="A28" s="10">
        <v>44205</v>
      </c>
      <c r="B28" s="3" t="s">
        <v>178</v>
      </c>
      <c r="C28" s="11" t="s">
        <v>260</v>
      </c>
      <c r="D28" s="12">
        <v>117.48</v>
      </c>
      <c r="E28" s="1">
        <v>12</v>
      </c>
      <c r="F28" s="13">
        <f>InputData[[#This Row],[QUANTITY]]*InputData[[#This Row],[UNIT PRICE (R)]]</f>
        <v>1409.76</v>
      </c>
      <c r="G28" s="1" t="str">
        <f>VLOOKUP(InputData[[#This Row],[CUSTOMER NAME]],Country[],2,0)</f>
        <v>Pakistan</v>
      </c>
      <c r="H28" s="1" t="str">
        <f>VLOOKUP(InputData[[#This Row],[CUSTOMER NAME]],Country[],3,0)</f>
        <v>Export</v>
      </c>
      <c r="I28" s="1" t="str">
        <f>TEXT(InputData[[#This Row],[DATE]],"mmmm")</f>
        <v>January</v>
      </c>
      <c r="J28" s="1" t="str">
        <f>TEXT(InputData[[#This Row],[DATE]],"ddd")</f>
        <v>Sat</v>
      </c>
      <c r="K28" s="14">
        <f>WEEKNUM(InputData[[#This Row],[DATE]])</f>
        <v>2</v>
      </c>
      <c r="N28" s="3" t="s">
        <v>71</v>
      </c>
      <c r="O28" t="s">
        <v>166</v>
      </c>
      <c r="R28" s="3" t="s">
        <v>67</v>
      </c>
      <c r="S28" s="1" t="str">
        <f t="shared" si="0"/>
        <v>Ironbridge Trading Co.</v>
      </c>
      <c r="V28" s="11" t="s">
        <v>24</v>
      </c>
      <c r="W28" t="s">
        <v>252</v>
      </c>
      <c r="Z28" s="11" t="s">
        <v>3</v>
      </c>
      <c r="AA28" s="1" t="str">
        <f t="shared" si="1"/>
        <v>Hex Bolt M12</v>
      </c>
      <c r="AF28" s="1" t="s">
        <v>156</v>
      </c>
    </row>
    <row r="29" spans="1:32" x14ac:dyDescent="0.3">
      <c r="A29" s="10">
        <v>44206</v>
      </c>
      <c r="B29" s="3" t="s">
        <v>145</v>
      </c>
      <c r="C29" s="11" t="s">
        <v>230</v>
      </c>
      <c r="D29" s="12">
        <v>142.80000000000001</v>
      </c>
      <c r="E29" s="1">
        <v>24</v>
      </c>
      <c r="F29" s="13">
        <f>InputData[[#This Row],[QUANTITY]]*InputData[[#This Row],[UNIT PRICE (R)]]</f>
        <v>3427.2000000000003</v>
      </c>
      <c r="G29" s="1" t="str">
        <f>VLOOKUP(InputData[[#This Row],[CUSTOMER NAME]],Country[],2,0)</f>
        <v>India</v>
      </c>
      <c r="H29" s="1" t="str">
        <f>VLOOKUP(InputData[[#This Row],[CUSTOMER NAME]],Country[],3,0)</f>
        <v>Northeast</v>
      </c>
      <c r="I29" s="1" t="str">
        <f>TEXT(InputData[[#This Row],[DATE]],"mmmm")</f>
        <v>January</v>
      </c>
      <c r="J29" s="1" t="str">
        <f>TEXT(InputData[[#This Row],[DATE]],"ddd")</f>
        <v>Sun</v>
      </c>
      <c r="K29" s="14">
        <f>WEEKNUM(InputData[[#This Row],[DATE]])</f>
        <v>3</v>
      </c>
      <c r="N29" s="3" t="s">
        <v>72</v>
      </c>
      <c r="O29" t="s">
        <v>167</v>
      </c>
      <c r="R29" s="3" t="s">
        <v>100</v>
      </c>
      <c r="S29" s="1" t="str">
        <f t="shared" si="0"/>
        <v>Pemberton &amp; Associates</v>
      </c>
      <c r="V29" s="11" t="s">
        <v>25</v>
      </c>
      <c r="W29" t="s">
        <v>253</v>
      </c>
      <c r="Z29" s="11" t="s">
        <v>32</v>
      </c>
      <c r="AA29" s="1" t="str">
        <f t="shared" si="1"/>
        <v>Corner Bracket 50mm</v>
      </c>
      <c r="AF29" s="1" t="s">
        <v>150</v>
      </c>
    </row>
    <row r="30" spans="1:32" x14ac:dyDescent="0.3">
      <c r="A30" s="10">
        <v>44206</v>
      </c>
      <c r="B30" s="3" t="s">
        <v>163</v>
      </c>
      <c r="C30" s="11" t="s">
        <v>262</v>
      </c>
      <c r="D30" s="12">
        <v>58.3</v>
      </c>
      <c r="E30" s="1">
        <v>14</v>
      </c>
      <c r="F30" s="13">
        <f>InputData[[#This Row],[QUANTITY]]*InputData[[#This Row],[UNIT PRICE (R)]]</f>
        <v>816.19999999999993</v>
      </c>
      <c r="G30" s="1" t="str">
        <f>VLOOKUP(InputData[[#This Row],[CUSTOMER NAME]],Country[],2,0)</f>
        <v>South Africa</v>
      </c>
      <c r="H30" s="1" t="str">
        <f>VLOOKUP(InputData[[#This Row],[CUSTOMER NAME]],Country[],3,0)</f>
        <v>Export</v>
      </c>
      <c r="I30" s="1" t="str">
        <f>TEXT(InputData[[#This Row],[DATE]],"mmmm")</f>
        <v>January</v>
      </c>
      <c r="J30" s="1" t="str">
        <f>TEXT(InputData[[#This Row],[DATE]],"ddd")</f>
        <v>Sun</v>
      </c>
      <c r="K30" s="14">
        <f>WEEKNUM(InputData[[#This Row],[DATE]])</f>
        <v>3</v>
      </c>
      <c r="N30" s="3" t="s">
        <v>73</v>
      </c>
      <c r="O30" t="s">
        <v>168</v>
      </c>
      <c r="R30" s="3" t="s">
        <v>50</v>
      </c>
      <c r="S30" s="1" t="str">
        <f t="shared" si="0"/>
        <v>Meridian Hardware Co.</v>
      </c>
      <c r="V30" s="11" t="s">
        <v>26</v>
      </c>
      <c r="W30" t="s">
        <v>254</v>
      </c>
      <c r="Z30" s="11" t="s">
        <v>2</v>
      </c>
      <c r="AA30" s="1" t="str">
        <f t="shared" si="1"/>
        <v>Hex Bolt M10</v>
      </c>
      <c r="AF30" s="1" t="s">
        <v>166</v>
      </c>
    </row>
    <row r="31" spans="1:32" x14ac:dyDescent="0.3">
      <c r="A31" s="10">
        <v>44206</v>
      </c>
      <c r="B31" s="3" t="s">
        <v>178</v>
      </c>
      <c r="C31" s="11" t="s">
        <v>263</v>
      </c>
      <c r="D31" s="12">
        <v>6.7</v>
      </c>
      <c r="E31" s="1">
        <v>9</v>
      </c>
      <c r="F31" s="13">
        <f>InputData[[#This Row],[QUANTITY]]*InputData[[#This Row],[UNIT PRICE (R)]]</f>
        <v>60.300000000000004</v>
      </c>
      <c r="G31" s="1" t="str">
        <f>VLOOKUP(InputData[[#This Row],[CUSTOMER NAME]],Country[],2,0)</f>
        <v>Pakistan</v>
      </c>
      <c r="H31" s="1" t="str">
        <f>VLOOKUP(InputData[[#This Row],[CUSTOMER NAME]],Country[],3,0)</f>
        <v>Export</v>
      </c>
      <c r="I31" s="1" t="str">
        <f>TEXT(InputData[[#This Row],[DATE]],"mmmm")</f>
        <v>January</v>
      </c>
      <c r="J31" s="1" t="str">
        <f>TEXT(InputData[[#This Row],[DATE]],"ddd")</f>
        <v>Sun</v>
      </c>
      <c r="K31" s="14">
        <f>WEEKNUM(InputData[[#This Row],[DATE]])</f>
        <v>3</v>
      </c>
      <c r="N31" s="3" t="s">
        <v>74</v>
      </c>
      <c r="O31" t="s">
        <v>169</v>
      </c>
      <c r="R31" s="3" t="s">
        <v>68</v>
      </c>
      <c r="S31" s="1" t="str">
        <f t="shared" si="0"/>
        <v>Delacroix Wholesale</v>
      </c>
      <c r="V31" s="11" t="s">
        <v>27</v>
      </c>
      <c r="W31" t="s">
        <v>255</v>
      </c>
      <c r="Z31" s="11" t="s">
        <v>34</v>
      </c>
      <c r="AA31" s="1" t="str">
        <f t="shared" si="1"/>
        <v>L-Bracket 75mm</v>
      </c>
      <c r="AF31" s="1" t="s">
        <v>167</v>
      </c>
    </row>
    <row r="32" spans="1:32" x14ac:dyDescent="0.3">
      <c r="A32" s="10">
        <v>44207</v>
      </c>
      <c r="B32" s="3" t="s">
        <v>145</v>
      </c>
      <c r="C32" s="11" t="s">
        <v>265</v>
      </c>
      <c r="D32" s="12">
        <v>85.76</v>
      </c>
      <c r="E32" s="1">
        <v>3</v>
      </c>
      <c r="F32" s="13">
        <f>InputData[[#This Row],[QUANTITY]]*InputData[[#This Row],[UNIT PRICE (R)]]</f>
        <v>257.28000000000003</v>
      </c>
      <c r="G32" s="1" t="str">
        <f>VLOOKUP(InputData[[#This Row],[CUSTOMER NAME]],Country[],2,0)</f>
        <v>India</v>
      </c>
      <c r="H32" s="1" t="str">
        <f>VLOOKUP(InputData[[#This Row],[CUSTOMER NAME]],Country[],3,0)</f>
        <v>Northeast</v>
      </c>
      <c r="I32" s="1" t="str">
        <f>TEXT(InputData[[#This Row],[DATE]],"mmmm")</f>
        <v>January</v>
      </c>
      <c r="J32" s="1" t="str">
        <f>TEXT(InputData[[#This Row],[DATE]],"ddd")</f>
        <v>Mon</v>
      </c>
      <c r="K32" s="14">
        <f>WEEKNUM(InputData[[#This Row],[DATE]])</f>
        <v>3</v>
      </c>
      <c r="N32" s="3" t="s">
        <v>75</v>
      </c>
      <c r="O32" t="s">
        <v>170</v>
      </c>
      <c r="R32" s="3" t="s">
        <v>100</v>
      </c>
      <c r="S32" s="1" t="str">
        <f t="shared" si="0"/>
        <v>Pemberton &amp; Associates</v>
      </c>
      <c r="V32" s="11" t="s">
        <v>28</v>
      </c>
      <c r="W32" t="s">
        <v>256</v>
      </c>
      <c r="Z32" s="11" t="s">
        <v>35</v>
      </c>
      <c r="AA32" s="1" t="str">
        <f t="shared" si="1"/>
        <v>T-Bracket 100mm</v>
      </c>
      <c r="AF32" s="1" t="s">
        <v>169</v>
      </c>
    </row>
    <row r="33" spans="1:32" x14ac:dyDescent="0.3">
      <c r="A33" s="10">
        <v>44207</v>
      </c>
      <c r="B33" s="3" t="s">
        <v>153</v>
      </c>
      <c r="C33" s="11" t="s">
        <v>242</v>
      </c>
      <c r="D33" s="12">
        <v>146.72</v>
      </c>
      <c r="E33" s="1">
        <v>4</v>
      </c>
      <c r="F33" s="13">
        <f>InputData[[#This Row],[QUANTITY]]*InputData[[#This Row],[UNIT PRICE (R)]]</f>
        <v>586.88</v>
      </c>
      <c r="G33" s="1" t="str">
        <f>VLOOKUP(InputData[[#This Row],[CUSTOMER NAME]],Country[],2,0)</f>
        <v>Mexico</v>
      </c>
      <c r="H33" s="1" t="str">
        <f>VLOOKUP(InputData[[#This Row],[CUSTOMER NAME]],Country[],3,0)</f>
        <v>Export</v>
      </c>
      <c r="I33" s="1" t="str">
        <f>TEXT(InputData[[#This Row],[DATE]],"mmmm")</f>
        <v>January</v>
      </c>
      <c r="J33" s="1" t="str">
        <f>TEXT(InputData[[#This Row],[DATE]],"ddd")</f>
        <v>Mon</v>
      </c>
      <c r="K33" s="14">
        <f>WEEKNUM(InputData[[#This Row],[DATE]])</f>
        <v>3</v>
      </c>
      <c r="N33" s="3" t="s">
        <v>76</v>
      </c>
      <c r="O33" t="s">
        <v>171</v>
      </c>
      <c r="R33" s="3" t="s">
        <v>50</v>
      </c>
      <c r="S33" s="1" t="str">
        <f t="shared" si="0"/>
        <v>Meridian Hardware Co.</v>
      </c>
      <c r="V33" s="11" t="s">
        <v>29</v>
      </c>
      <c r="W33" t="s">
        <v>257</v>
      </c>
      <c r="Z33" s="11" t="s">
        <v>37</v>
      </c>
      <c r="AA33" s="1" t="str">
        <f t="shared" si="1"/>
        <v>Turnbuckle Hook M6</v>
      </c>
      <c r="AF33" s="1" t="s">
        <v>157</v>
      </c>
    </row>
    <row r="34" spans="1:32" x14ac:dyDescent="0.3">
      <c r="A34" s="10">
        <v>44207</v>
      </c>
      <c r="B34" s="3" t="s">
        <v>176</v>
      </c>
      <c r="C34" s="11" t="s">
        <v>239</v>
      </c>
      <c r="D34" s="12">
        <v>48.4</v>
      </c>
      <c r="E34" s="1">
        <v>14</v>
      </c>
      <c r="F34" s="13">
        <f>InputData[[#This Row],[QUANTITY]]*InputData[[#This Row],[UNIT PRICE (R)]]</f>
        <v>677.6</v>
      </c>
      <c r="G34" s="1" t="str">
        <f>VLOOKUP(InputData[[#This Row],[CUSTOMER NAME]],Country[],2,0)</f>
        <v>India</v>
      </c>
      <c r="H34" s="1" t="str">
        <f>VLOOKUP(InputData[[#This Row],[CUSTOMER NAME]],Country[],3,0)</f>
        <v>Northeast</v>
      </c>
      <c r="I34" s="1" t="str">
        <f>TEXT(InputData[[#This Row],[DATE]],"mmmm")</f>
        <v>January</v>
      </c>
      <c r="J34" s="1" t="str">
        <f>TEXT(InputData[[#This Row],[DATE]],"ddd")</f>
        <v>Mon</v>
      </c>
      <c r="K34" s="14">
        <f>WEEKNUM(InputData[[#This Row],[DATE]])</f>
        <v>3</v>
      </c>
      <c r="N34" s="3" t="s">
        <v>77</v>
      </c>
      <c r="O34" t="s">
        <v>172</v>
      </c>
      <c r="R34" s="3" t="s">
        <v>58</v>
      </c>
      <c r="S34" s="1" t="str">
        <f t="shared" si="0"/>
        <v>Redwood Mercantile</v>
      </c>
      <c r="V34" s="11" t="s">
        <v>30</v>
      </c>
      <c r="W34" t="s">
        <v>258</v>
      </c>
      <c r="Z34" s="11" t="s">
        <v>14</v>
      </c>
      <c r="AA34" s="1" t="str">
        <f t="shared" si="1"/>
        <v>Cap Screw M6</v>
      </c>
      <c r="AF34" s="1" t="s">
        <v>164</v>
      </c>
    </row>
    <row r="35" spans="1:32" x14ac:dyDescent="0.3">
      <c r="A35" s="10">
        <v>44207</v>
      </c>
      <c r="B35" s="3" t="s">
        <v>159</v>
      </c>
      <c r="C35" s="11" t="s">
        <v>270</v>
      </c>
      <c r="D35" s="12">
        <v>162</v>
      </c>
      <c r="E35" s="1">
        <v>4</v>
      </c>
      <c r="F35" s="13">
        <f>InputData[[#This Row],[QUANTITY]]*InputData[[#This Row],[UNIT PRICE (R)]]</f>
        <v>648</v>
      </c>
      <c r="G35" s="1" t="str">
        <f>VLOOKUP(InputData[[#This Row],[CUSTOMER NAME]],Country[],2,0)</f>
        <v>Saudi Arabia</v>
      </c>
      <c r="H35" s="1" t="str">
        <f>VLOOKUP(InputData[[#This Row],[CUSTOMER NAME]],Country[],3,0)</f>
        <v>Export</v>
      </c>
      <c r="I35" s="1" t="str">
        <f>TEXT(InputData[[#This Row],[DATE]],"mmmm")</f>
        <v>January</v>
      </c>
      <c r="J35" s="1" t="str">
        <f>TEXT(InputData[[#This Row],[DATE]],"ddd")</f>
        <v>Mon</v>
      </c>
      <c r="K35" s="14">
        <f>WEEKNUM(InputData[[#This Row],[DATE]])</f>
        <v>3</v>
      </c>
      <c r="N35" s="3" t="s">
        <v>95</v>
      </c>
      <c r="O35" t="s">
        <v>173</v>
      </c>
      <c r="R35" s="3" t="s">
        <v>98</v>
      </c>
      <c r="S35" s="1" t="str">
        <f t="shared" si="0"/>
        <v>Alderman Retail Group</v>
      </c>
      <c r="V35" s="11" t="s">
        <v>31</v>
      </c>
      <c r="W35" t="s">
        <v>259</v>
      </c>
      <c r="Z35" s="11" t="s">
        <v>11</v>
      </c>
      <c r="AA35" s="1" t="str">
        <f t="shared" si="1"/>
        <v>Wood Screw 40mm</v>
      </c>
      <c r="AF35" s="1" t="s">
        <v>172</v>
      </c>
    </row>
    <row r="36" spans="1:32" x14ac:dyDescent="0.3">
      <c r="A36" s="10">
        <v>44207</v>
      </c>
      <c r="B36" s="3" t="s">
        <v>162</v>
      </c>
      <c r="C36" s="11" t="s">
        <v>260</v>
      </c>
      <c r="D36" s="12">
        <v>117.48</v>
      </c>
      <c r="E36" s="1">
        <v>2</v>
      </c>
      <c r="F36" s="13">
        <f>InputData[[#This Row],[QUANTITY]]*InputData[[#This Row],[UNIT PRICE (R)]]</f>
        <v>234.96</v>
      </c>
      <c r="G36" s="1" t="str">
        <f>VLOOKUP(InputData[[#This Row],[CUSTOMER NAME]],Country[],2,0)</f>
        <v>United Kingdom</v>
      </c>
      <c r="H36" s="1" t="str">
        <f>VLOOKUP(InputData[[#This Row],[CUSTOMER NAME]],Country[],3,0)</f>
        <v>Export</v>
      </c>
      <c r="I36" s="1" t="str">
        <f>TEXT(InputData[[#This Row],[DATE]],"mmmm")</f>
        <v>January</v>
      </c>
      <c r="J36" s="1" t="str">
        <f>TEXT(InputData[[#This Row],[DATE]],"ddd")</f>
        <v>Mon</v>
      </c>
      <c r="K36" s="14">
        <f>WEEKNUM(InputData[[#This Row],[DATE]])</f>
        <v>3</v>
      </c>
      <c r="N36" s="3" t="s">
        <v>96</v>
      </c>
      <c r="O36" t="s">
        <v>174</v>
      </c>
      <c r="R36" s="3" t="s">
        <v>64</v>
      </c>
      <c r="S36" s="1" t="str">
        <f t="shared" si="0"/>
        <v>Ridgeway Commercial</v>
      </c>
      <c r="V36" s="11" t="s">
        <v>32</v>
      </c>
      <c r="W36" t="s">
        <v>260</v>
      </c>
      <c r="Z36" s="11" t="s">
        <v>42</v>
      </c>
      <c r="AA36" s="1" t="str">
        <f t="shared" si="1"/>
        <v>PVC Coupling 25mm</v>
      </c>
      <c r="AF36" s="1" t="s">
        <v>146</v>
      </c>
    </row>
    <row r="37" spans="1:32" x14ac:dyDescent="0.3">
      <c r="A37" s="10">
        <v>44208</v>
      </c>
      <c r="B37" s="3" t="s">
        <v>147</v>
      </c>
      <c r="C37" s="11" t="s">
        <v>270</v>
      </c>
      <c r="D37" s="12">
        <v>162</v>
      </c>
      <c r="E37" s="1">
        <v>10</v>
      </c>
      <c r="F37" s="13">
        <f>InputData[[#This Row],[QUANTITY]]*InputData[[#This Row],[UNIT PRICE (R)]]</f>
        <v>1620</v>
      </c>
      <c r="G37" s="1" t="str">
        <f>VLOOKUP(InputData[[#This Row],[CUSTOMER NAME]],Country[],2,0)</f>
        <v>India</v>
      </c>
      <c r="H37" s="1" t="str">
        <f>VLOOKUP(InputData[[#This Row],[CUSTOMER NAME]],Country[],3,0)</f>
        <v>Northeast</v>
      </c>
      <c r="I37" s="1" t="str">
        <f>TEXT(InputData[[#This Row],[DATE]],"mmmm")</f>
        <v>January</v>
      </c>
      <c r="J37" s="1" t="str">
        <f>TEXT(InputData[[#This Row],[DATE]],"ddd")</f>
        <v>Tue</v>
      </c>
      <c r="K37" s="14">
        <f>WEEKNUM(InputData[[#This Row],[DATE]])</f>
        <v>3</v>
      </c>
      <c r="N37" s="3" t="s">
        <v>97</v>
      </c>
      <c r="O37" t="s">
        <v>175</v>
      </c>
      <c r="R37" s="3" t="s">
        <v>67</v>
      </c>
      <c r="S37" s="1" t="str">
        <f t="shared" si="0"/>
        <v>Ironbridge Trading Co.</v>
      </c>
      <c r="V37" s="11" t="s">
        <v>33</v>
      </c>
      <c r="W37" t="s">
        <v>261</v>
      </c>
      <c r="Z37" s="11" t="s">
        <v>32</v>
      </c>
      <c r="AA37" s="1" t="str">
        <f t="shared" si="1"/>
        <v>Corner Bracket 50mm</v>
      </c>
      <c r="AF37" s="1" t="s">
        <v>154</v>
      </c>
    </row>
    <row r="38" spans="1:32" x14ac:dyDescent="0.3">
      <c r="A38" s="10">
        <v>44209</v>
      </c>
      <c r="B38" s="3" t="s">
        <v>173</v>
      </c>
      <c r="C38" s="11" t="s">
        <v>244</v>
      </c>
      <c r="D38" s="12">
        <v>16.64</v>
      </c>
      <c r="E38" s="1">
        <v>15</v>
      </c>
      <c r="F38" s="13">
        <f>InputData[[#This Row],[QUANTITY]]*InputData[[#This Row],[UNIT PRICE (R)]]</f>
        <v>249.60000000000002</v>
      </c>
      <c r="G38" s="1" t="str">
        <f>VLOOKUP(InputData[[#This Row],[CUSTOMER NAME]],Country[],2,0)</f>
        <v>India</v>
      </c>
      <c r="H38" s="1" t="str">
        <f>VLOOKUP(InputData[[#This Row],[CUSTOMER NAME]],Country[],3,0)</f>
        <v>North</v>
      </c>
      <c r="I38" s="1" t="str">
        <f>TEXT(InputData[[#This Row],[DATE]],"mmmm")</f>
        <v>January</v>
      </c>
      <c r="J38" s="1" t="str">
        <f>TEXT(InputData[[#This Row],[DATE]],"ddd")</f>
        <v>Wed</v>
      </c>
      <c r="K38" s="14">
        <f>WEEKNUM(InputData[[#This Row],[DATE]])</f>
        <v>3</v>
      </c>
      <c r="N38" s="3" t="s">
        <v>98</v>
      </c>
      <c r="O38" t="s">
        <v>176</v>
      </c>
      <c r="R38" s="3" t="s">
        <v>52</v>
      </c>
      <c r="S38" s="1" t="str">
        <f t="shared" si="0"/>
        <v>Harrow Distribution</v>
      </c>
      <c r="V38" s="11" t="s">
        <v>34</v>
      </c>
      <c r="W38" t="s">
        <v>262</v>
      </c>
      <c r="Z38" s="11" t="s">
        <v>42</v>
      </c>
      <c r="AA38" s="1" t="str">
        <f t="shared" si="1"/>
        <v>PVC Coupling 25mm</v>
      </c>
      <c r="AF38" s="1" t="s">
        <v>144</v>
      </c>
    </row>
    <row r="39" spans="1:32" x14ac:dyDescent="0.3">
      <c r="A39" s="10">
        <v>44209</v>
      </c>
      <c r="B39" s="3" t="s">
        <v>148</v>
      </c>
      <c r="C39" s="11" t="s">
        <v>247</v>
      </c>
      <c r="D39" s="12">
        <v>210</v>
      </c>
      <c r="E39" s="1">
        <v>6</v>
      </c>
      <c r="F39" s="13">
        <f>InputData[[#This Row],[QUANTITY]]*InputData[[#This Row],[UNIT PRICE (R)]]</f>
        <v>1260</v>
      </c>
      <c r="G39" s="1" t="str">
        <f>VLOOKUP(InputData[[#This Row],[CUSTOMER NAME]],Country[],2,0)</f>
        <v>Pakistan</v>
      </c>
      <c r="H39" s="1" t="str">
        <f>VLOOKUP(InputData[[#This Row],[CUSTOMER NAME]],Country[],3,0)</f>
        <v>Export</v>
      </c>
      <c r="I39" s="1" t="str">
        <f>TEXT(InputData[[#This Row],[DATE]],"mmmm")</f>
        <v>January</v>
      </c>
      <c r="J39" s="1" t="str">
        <f>TEXT(InputData[[#This Row],[DATE]],"ddd")</f>
        <v>Wed</v>
      </c>
      <c r="K39" s="14">
        <f>WEEKNUM(InputData[[#This Row],[DATE]])</f>
        <v>3</v>
      </c>
      <c r="N39" s="3" t="s">
        <v>99</v>
      </c>
      <c r="O39" t="s">
        <v>177</v>
      </c>
      <c r="R39" s="3" t="s">
        <v>95</v>
      </c>
      <c r="S39" s="1" t="str">
        <f t="shared" si="0"/>
        <v>Cobalt Point Supplies</v>
      </c>
      <c r="V39" s="11" t="s">
        <v>35</v>
      </c>
      <c r="W39" t="s">
        <v>263</v>
      </c>
      <c r="Z39" s="11" t="s">
        <v>16</v>
      </c>
      <c r="AA39" s="1" t="str">
        <f t="shared" si="1"/>
        <v>Blind Rivet 6mm</v>
      </c>
      <c r="AF39" s="1" t="s">
        <v>165</v>
      </c>
    </row>
    <row r="40" spans="1:32" x14ac:dyDescent="0.3">
      <c r="A40" s="10">
        <v>44210</v>
      </c>
      <c r="B40" s="3" t="s">
        <v>180</v>
      </c>
      <c r="C40" s="11" t="s">
        <v>239</v>
      </c>
      <c r="D40" s="12">
        <v>48.4</v>
      </c>
      <c r="E40" s="1">
        <v>14</v>
      </c>
      <c r="F40" s="13">
        <f>InputData[[#This Row],[QUANTITY]]*InputData[[#This Row],[UNIT PRICE (R)]]</f>
        <v>677.6</v>
      </c>
      <c r="G40" s="1" t="str">
        <f>VLOOKUP(InputData[[#This Row],[CUSTOMER NAME]],Country[],2,0)</f>
        <v>India</v>
      </c>
      <c r="H40" s="1" t="str">
        <f>VLOOKUP(InputData[[#This Row],[CUSTOMER NAME]],Country[],3,0)</f>
        <v>Northeast</v>
      </c>
      <c r="I40" s="1" t="str">
        <f>TEXT(InputData[[#This Row],[DATE]],"mmmm")</f>
        <v>January</v>
      </c>
      <c r="J40" s="1" t="str">
        <f>TEXT(InputData[[#This Row],[DATE]],"ddd")</f>
        <v>Thu</v>
      </c>
      <c r="K40" s="14">
        <f>WEEKNUM(InputData[[#This Row],[DATE]])</f>
        <v>3</v>
      </c>
      <c r="N40" s="3" t="s">
        <v>100</v>
      </c>
      <c r="O40" t="s">
        <v>178</v>
      </c>
      <c r="R40" s="3" t="s">
        <v>53</v>
      </c>
      <c r="S40" s="1" t="str">
        <f t="shared" si="0"/>
        <v>Vantage Point Retailers</v>
      </c>
      <c r="V40" s="11" t="s">
        <v>36</v>
      </c>
      <c r="W40" t="s">
        <v>264</v>
      </c>
      <c r="Z40" s="11" t="s">
        <v>19</v>
      </c>
      <c r="AA40" s="1" t="str">
        <f t="shared" si="1"/>
        <v>Anchor Bolt M10</v>
      </c>
      <c r="AF40" s="1" t="s">
        <v>170</v>
      </c>
    </row>
    <row r="41" spans="1:32" x14ac:dyDescent="0.3">
      <c r="A41" s="10">
        <v>44211</v>
      </c>
      <c r="B41" s="3" t="s">
        <v>156</v>
      </c>
      <c r="C41" s="11" t="s">
        <v>235</v>
      </c>
      <c r="D41" s="12">
        <v>47.730000000000004</v>
      </c>
      <c r="E41" s="1">
        <v>15</v>
      </c>
      <c r="F41" s="13">
        <f>InputData[[#This Row],[QUANTITY]]*InputData[[#This Row],[UNIT PRICE (R)]]</f>
        <v>715.95</v>
      </c>
      <c r="G41" s="1" t="str">
        <f>VLOOKUP(InputData[[#This Row],[CUSTOMER NAME]],Country[],2,0)</f>
        <v>India</v>
      </c>
      <c r="H41" s="1" t="str">
        <f>VLOOKUP(InputData[[#This Row],[CUSTOMER NAME]],Country[],3,0)</f>
        <v>East</v>
      </c>
      <c r="I41" s="1" t="str">
        <f>TEXT(InputData[[#This Row],[DATE]],"mmmm")</f>
        <v>January</v>
      </c>
      <c r="J41" s="1" t="str">
        <f>TEXT(InputData[[#This Row],[DATE]],"ddd")</f>
        <v>Fri</v>
      </c>
      <c r="K41" s="14">
        <f>WEEKNUM(InputData[[#This Row],[DATE]])</f>
        <v>3</v>
      </c>
      <c r="N41" s="3" t="s">
        <v>101</v>
      </c>
      <c r="O41" t="s">
        <v>179</v>
      </c>
      <c r="R41" s="3" t="s">
        <v>102</v>
      </c>
      <c r="S41" s="1" t="str">
        <f t="shared" si="0"/>
        <v>Kingsmead Distribution</v>
      </c>
      <c r="V41" s="11" t="s">
        <v>37</v>
      </c>
      <c r="W41" t="s">
        <v>265</v>
      </c>
      <c r="Z41" s="11" t="s">
        <v>11</v>
      </c>
      <c r="AA41" s="1" t="str">
        <f t="shared" si="1"/>
        <v>Wood Screw 40mm</v>
      </c>
      <c r="AF41" s="1" t="s">
        <v>152</v>
      </c>
    </row>
    <row r="42" spans="1:32" x14ac:dyDescent="0.3">
      <c r="A42" s="10">
        <v>44211</v>
      </c>
      <c r="B42" s="3" t="s">
        <v>162</v>
      </c>
      <c r="C42" s="11" t="s">
        <v>250</v>
      </c>
      <c r="D42" s="12">
        <v>141.57</v>
      </c>
      <c r="E42" s="1">
        <v>10</v>
      </c>
      <c r="F42" s="13">
        <f>InputData[[#This Row],[QUANTITY]]*InputData[[#This Row],[UNIT PRICE (R)]]</f>
        <v>1415.6999999999998</v>
      </c>
      <c r="G42" s="1" t="str">
        <f>VLOOKUP(InputData[[#This Row],[CUSTOMER NAME]],Country[],2,0)</f>
        <v>United Kingdom</v>
      </c>
      <c r="H42" s="1" t="str">
        <f>VLOOKUP(InputData[[#This Row],[CUSTOMER NAME]],Country[],3,0)</f>
        <v>Export</v>
      </c>
      <c r="I42" s="1" t="str">
        <f>TEXT(InputData[[#This Row],[DATE]],"mmmm")</f>
        <v>January</v>
      </c>
      <c r="J42" s="1" t="str">
        <f>TEXT(InputData[[#This Row],[DATE]],"ddd")</f>
        <v>Fri</v>
      </c>
      <c r="K42" s="14">
        <f>WEEKNUM(InputData[[#This Row],[DATE]])</f>
        <v>3</v>
      </c>
      <c r="N42" s="3" t="s">
        <v>102</v>
      </c>
      <c r="O42" t="s">
        <v>180</v>
      </c>
      <c r="R42" s="3" t="s">
        <v>61</v>
      </c>
      <c r="S42" s="1" t="str">
        <f t="shared" si="0"/>
        <v>Fairstone Retail Group</v>
      </c>
      <c r="V42" s="11" t="s">
        <v>38</v>
      </c>
      <c r="W42" t="s">
        <v>266</v>
      </c>
      <c r="Z42" s="11" t="s">
        <v>7</v>
      </c>
      <c r="AA42" s="1" t="str">
        <f t="shared" si="1"/>
        <v>Lock Washer M8</v>
      </c>
      <c r="AF42" s="1" t="s">
        <v>149</v>
      </c>
    </row>
    <row r="43" spans="1:32" x14ac:dyDescent="0.3">
      <c r="A43" s="10">
        <v>44212</v>
      </c>
      <c r="B43" s="3" t="s">
        <v>174</v>
      </c>
      <c r="C43" s="11" t="s">
        <v>242</v>
      </c>
      <c r="D43" s="12">
        <v>146.72</v>
      </c>
      <c r="E43" s="1">
        <v>11</v>
      </c>
      <c r="F43" s="13">
        <f>InputData[[#This Row],[QUANTITY]]*InputData[[#This Row],[UNIT PRICE (R)]]</f>
        <v>1613.92</v>
      </c>
      <c r="G43" s="1" t="str">
        <f>VLOOKUP(InputData[[#This Row],[CUSTOMER NAME]],Country[],2,0)</f>
        <v>Pakistan</v>
      </c>
      <c r="H43" s="1" t="str">
        <f>VLOOKUP(InputData[[#This Row],[CUSTOMER NAME]],Country[],3,0)</f>
        <v>Export</v>
      </c>
      <c r="I43" s="1" t="str">
        <f>TEXT(InputData[[#This Row],[DATE]],"mmmm")</f>
        <v>January</v>
      </c>
      <c r="J43" s="1" t="str">
        <f>TEXT(InputData[[#This Row],[DATE]],"ddd")</f>
        <v>Sat</v>
      </c>
      <c r="K43" s="14">
        <f>WEEKNUM(InputData[[#This Row],[DATE]])</f>
        <v>3</v>
      </c>
      <c r="N43" s="3" t="s">
        <v>103</v>
      </c>
      <c r="O43" t="s">
        <v>181</v>
      </c>
      <c r="R43" s="3" t="s">
        <v>67</v>
      </c>
      <c r="S43" s="1" t="str">
        <f t="shared" si="0"/>
        <v>Ironbridge Trading Co.</v>
      </c>
      <c r="V43" s="11" t="s">
        <v>39</v>
      </c>
      <c r="W43" t="s">
        <v>267</v>
      </c>
      <c r="Z43" s="11" t="s">
        <v>22</v>
      </c>
      <c r="AA43" s="1" t="str">
        <f t="shared" si="1"/>
        <v>Hose Clamp 32mm</v>
      </c>
      <c r="AF43" s="1" t="s">
        <v>155</v>
      </c>
    </row>
    <row r="44" spans="1:32" x14ac:dyDescent="0.3">
      <c r="A44" s="10">
        <v>44213</v>
      </c>
      <c r="B44" s="3" t="s">
        <v>150</v>
      </c>
      <c r="C44" s="11" t="s">
        <v>268</v>
      </c>
      <c r="D44" s="12">
        <v>115.2</v>
      </c>
      <c r="E44" s="1">
        <v>4</v>
      </c>
      <c r="F44" s="13">
        <f>InputData[[#This Row],[QUANTITY]]*InputData[[#This Row],[UNIT PRICE (R)]]</f>
        <v>460.8</v>
      </c>
      <c r="G44" s="1" t="str">
        <f>VLOOKUP(InputData[[#This Row],[CUSTOMER NAME]],Country[],2,0)</f>
        <v>United Kingdom</v>
      </c>
      <c r="H44" s="1" t="str">
        <f>VLOOKUP(InputData[[#This Row],[CUSTOMER NAME]],Country[],3,0)</f>
        <v>Export</v>
      </c>
      <c r="I44" s="1" t="str">
        <f>TEXT(InputData[[#This Row],[DATE]],"mmmm")</f>
        <v>January</v>
      </c>
      <c r="J44" s="1" t="str">
        <f>TEXT(InputData[[#This Row],[DATE]],"ddd")</f>
        <v>Sun</v>
      </c>
      <c r="K44" s="14">
        <f>WEEKNUM(InputData[[#This Row],[DATE]])</f>
        <v>4</v>
      </c>
      <c r="N44" s="3" t="s">
        <v>104</v>
      </c>
      <c r="O44" t="s">
        <v>182</v>
      </c>
      <c r="R44" s="3" t="s">
        <v>96</v>
      </c>
      <c r="S44" s="1" t="str">
        <f t="shared" si="0"/>
        <v>Draycott Wholesalers</v>
      </c>
      <c r="V44" s="11" t="s">
        <v>40</v>
      </c>
      <c r="W44" t="s">
        <v>268</v>
      </c>
      <c r="Z44" s="11" t="s">
        <v>14</v>
      </c>
      <c r="AA44" s="1" t="str">
        <f t="shared" si="1"/>
        <v>Cap Screw M6</v>
      </c>
      <c r="AF44" s="1" t="s">
        <v>182</v>
      </c>
    </row>
    <row r="45" spans="1:32" x14ac:dyDescent="0.3">
      <c r="A45" s="10">
        <v>44214</v>
      </c>
      <c r="B45" s="3" t="s">
        <v>148</v>
      </c>
      <c r="C45" s="11" t="s">
        <v>236</v>
      </c>
      <c r="D45" s="12">
        <v>94.62</v>
      </c>
      <c r="E45" s="1">
        <v>9</v>
      </c>
      <c r="F45" s="13">
        <f>InputData[[#This Row],[QUANTITY]]*InputData[[#This Row],[UNIT PRICE (R)]]</f>
        <v>851.58</v>
      </c>
      <c r="G45" s="1" t="str">
        <f>VLOOKUP(InputData[[#This Row],[CUSTOMER NAME]],Country[],2,0)</f>
        <v>Pakistan</v>
      </c>
      <c r="H45" s="1" t="str">
        <f>VLOOKUP(InputData[[#This Row],[CUSTOMER NAME]],Country[],3,0)</f>
        <v>Export</v>
      </c>
      <c r="I45" s="1" t="str">
        <f>TEXT(InputData[[#This Row],[DATE]],"mmmm")</f>
        <v>January</v>
      </c>
      <c r="J45" s="1" t="str">
        <f>TEXT(InputData[[#This Row],[DATE]],"ddd")</f>
        <v>Mon</v>
      </c>
      <c r="K45" s="14">
        <f>WEEKNUM(InputData[[#This Row],[DATE]])</f>
        <v>4</v>
      </c>
      <c r="N45" s="3" t="s">
        <v>204</v>
      </c>
      <c r="O45" t="s">
        <v>183</v>
      </c>
      <c r="R45" s="3" t="s">
        <v>55</v>
      </c>
      <c r="S45" s="1" t="str">
        <f t="shared" si="0"/>
        <v>Silverline Wholesalers</v>
      </c>
      <c r="V45" s="11" t="s">
        <v>41</v>
      </c>
      <c r="W45" t="s">
        <v>269</v>
      </c>
      <c r="Z45" s="11" t="s">
        <v>40</v>
      </c>
      <c r="AA45" s="1" t="str">
        <f t="shared" si="1"/>
        <v>Conduit Clamp 25mm</v>
      </c>
      <c r="AF45"/>
    </row>
    <row r="46" spans="1:32" x14ac:dyDescent="0.3">
      <c r="A46" s="10">
        <v>44214</v>
      </c>
      <c r="B46" s="3" t="s">
        <v>161</v>
      </c>
      <c r="C46" s="11" t="s">
        <v>251</v>
      </c>
      <c r="D46" s="12">
        <v>149.46</v>
      </c>
      <c r="E46" s="1">
        <v>3</v>
      </c>
      <c r="F46" s="13">
        <f>InputData[[#This Row],[QUANTITY]]*InputData[[#This Row],[UNIT PRICE (R)]]</f>
        <v>448.38</v>
      </c>
      <c r="G46" s="1" t="str">
        <f>VLOOKUP(InputData[[#This Row],[CUSTOMER NAME]],Country[],2,0)</f>
        <v>India</v>
      </c>
      <c r="H46" s="1" t="str">
        <f>VLOOKUP(InputData[[#This Row],[CUSTOMER NAME]],Country[],3,0)</f>
        <v>Central</v>
      </c>
      <c r="I46" s="1" t="str">
        <f>TEXT(InputData[[#This Row],[DATE]],"mmmm")</f>
        <v>January</v>
      </c>
      <c r="J46" s="1" t="str">
        <f>TEXT(InputData[[#This Row],[DATE]],"ddd")</f>
        <v>Mon</v>
      </c>
      <c r="K46" s="14">
        <f>WEEKNUM(InputData[[#This Row],[DATE]])</f>
        <v>4</v>
      </c>
      <c r="N46" s="3" t="s">
        <v>205</v>
      </c>
      <c r="O46" t="s">
        <v>184</v>
      </c>
      <c r="R46" s="3" t="s">
        <v>53</v>
      </c>
      <c r="S46" s="1" t="str">
        <f t="shared" si="0"/>
        <v>Vantage Point Retailers</v>
      </c>
      <c r="V46" s="11" t="s">
        <v>42</v>
      </c>
      <c r="W46" t="s">
        <v>270</v>
      </c>
      <c r="Z46" s="11" t="s">
        <v>8</v>
      </c>
      <c r="AA46" s="1" t="str">
        <f t="shared" si="1"/>
        <v>Flat Washer M10</v>
      </c>
      <c r="AF46"/>
    </row>
    <row r="47" spans="1:32" x14ac:dyDescent="0.3">
      <c r="A47" s="10">
        <v>44214</v>
      </c>
      <c r="B47" s="3" t="s">
        <v>166</v>
      </c>
      <c r="C47" s="11" t="s">
        <v>272</v>
      </c>
      <c r="D47" s="12">
        <v>82.08</v>
      </c>
      <c r="E47" s="1">
        <v>13</v>
      </c>
      <c r="F47" s="13">
        <f>InputData[[#This Row],[QUANTITY]]*InputData[[#This Row],[UNIT PRICE (R)]]</f>
        <v>1067.04</v>
      </c>
      <c r="G47" s="1" t="str">
        <f>VLOOKUP(InputData[[#This Row],[CUSTOMER NAME]],Country[],2,0)</f>
        <v>India</v>
      </c>
      <c r="H47" s="1" t="str">
        <f>VLOOKUP(InputData[[#This Row],[CUSTOMER NAME]],Country[],3,0)</f>
        <v>North</v>
      </c>
      <c r="I47" s="1" t="str">
        <f>TEXT(InputData[[#This Row],[DATE]],"mmmm")</f>
        <v>January</v>
      </c>
      <c r="J47" s="1" t="str">
        <f>TEXT(InputData[[#This Row],[DATE]],"ddd")</f>
        <v>Mon</v>
      </c>
      <c r="K47" s="14">
        <f>WEEKNUM(InputData[[#This Row],[DATE]])</f>
        <v>4</v>
      </c>
      <c r="N47" s="3" t="s">
        <v>206</v>
      </c>
      <c r="O47" t="s">
        <v>185</v>
      </c>
      <c r="R47" s="3" t="s">
        <v>66</v>
      </c>
      <c r="S47" s="1" t="str">
        <f t="shared" si="0"/>
        <v>Whitfield Distributors</v>
      </c>
      <c r="V47" s="11" t="s">
        <v>43</v>
      </c>
      <c r="W47" t="s">
        <v>271</v>
      </c>
      <c r="Z47" s="11" t="s">
        <v>23</v>
      </c>
      <c r="AA47" s="1" t="str">
        <f t="shared" si="1"/>
        <v>U-Bolt M8</v>
      </c>
      <c r="AF47"/>
    </row>
    <row r="48" spans="1:32" x14ac:dyDescent="0.3">
      <c r="A48" s="10">
        <v>44215</v>
      </c>
      <c r="B48" s="3" t="s">
        <v>162</v>
      </c>
      <c r="C48" s="11" t="s">
        <v>263</v>
      </c>
      <c r="D48" s="12">
        <v>6.7</v>
      </c>
      <c r="E48" s="1">
        <v>6</v>
      </c>
      <c r="F48" s="13">
        <f>InputData[[#This Row],[QUANTITY]]*InputData[[#This Row],[UNIT PRICE (R)]]</f>
        <v>40.200000000000003</v>
      </c>
      <c r="G48" s="1" t="str">
        <f>VLOOKUP(InputData[[#This Row],[CUSTOMER NAME]],Country[],2,0)</f>
        <v>United Kingdom</v>
      </c>
      <c r="H48" s="1" t="str">
        <f>VLOOKUP(InputData[[#This Row],[CUSTOMER NAME]],Country[],3,0)</f>
        <v>Export</v>
      </c>
      <c r="I48" s="1" t="str">
        <f>TEXT(InputData[[#This Row],[DATE]],"mmmm")</f>
        <v>January</v>
      </c>
      <c r="J48" s="1" t="str">
        <f>TEXT(InputData[[#This Row],[DATE]],"ddd")</f>
        <v>Tue</v>
      </c>
      <c r="K48" s="14">
        <f>WEEKNUM(InputData[[#This Row],[DATE]])</f>
        <v>4</v>
      </c>
      <c r="N48" s="3" t="s">
        <v>207</v>
      </c>
      <c r="O48" t="s">
        <v>186</v>
      </c>
      <c r="R48" s="3" t="s">
        <v>71</v>
      </c>
      <c r="S48" s="1" t="str">
        <f t="shared" si="0"/>
        <v>Blackfriars Supply</v>
      </c>
      <c r="V48" s="11" t="s">
        <v>44</v>
      </c>
      <c r="W48" t="s">
        <v>272</v>
      </c>
      <c r="Z48" s="11" t="s">
        <v>44</v>
      </c>
      <c r="AA48" s="1" t="str">
        <f t="shared" si="1"/>
        <v>Brass Elbow Joint 20mm</v>
      </c>
      <c r="AF48"/>
    </row>
    <row r="49" spans="1:32" x14ac:dyDescent="0.3">
      <c r="A49" s="10">
        <v>44216</v>
      </c>
      <c r="B49" s="3" t="s">
        <v>151</v>
      </c>
      <c r="C49" s="11" t="s">
        <v>262</v>
      </c>
      <c r="D49" s="12">
        <v>58.3</v>
      </c>
      <c r="E49" s="1">
        <v>4</v>
      </c>
      <c r="F49" s="13">
        <f>InputData[[#This Row],[QUANTITY]]*InputData[[#This Row],[UNIT PRICE (R)]]</f>
        <v>233.2</v>
      </c>
      <c r="G49" s="1" t="str">
        <f>VLOOKUP(InputData[[#This Row],[CUSTOMER NAME]],Country[],2,0)</f>
        <v>Russia</v>
      </c>
      <c r="H49" s="1" t="str">
        <f>VLOOKUP(InputData[[#This Row],[CUSTOMER NAME]],Country[],3,0)</f>
        <v>Export</v>
      </c>
      <c r="I49" s="1" t="str">
        <f>TEXT(InputData[[#This Row],[DATE]],"mmmm")</f>
        <v>January</v>
      </c>
      <c r="J49" s="1" t="str">
        <f>TEXT(InputData[[#This Row],[DATE]],"ddd")</f>
        <v>Wed</v>
      </c>
      <c r="K49" s="14">
        <f>WEEKNUM(InputData[[#This Row],[DATE]])</f>
        <v>4</v>
      </c>
      <c r="N49" s="3" t="s">
        <v>208</v>
      </c>
      <c r="O49" t="s">
        <v>187</v>
      </c>
      <c r="R49" s="3" t="s">
        <v>67</v>
      </c>
      <c r="S49" s="1" t="str">
        <f t="shared" si="0"/>
        <v>Ironbridge Trading Co.</v>
      </c>
      <c r="V49"/>
      <c r="W49"/>
      <c r="Z49" s="11" t="s">
        <v>35</v>
      </c>
      <c r="AA49" s="1" t="str">
        <f t="shared" si="1"/>
        <v>T-Bracket 100mm</v>
      </c>
      <c r="AF49"/>
    </row>
    <row r="50" spans="1:32" x14ac:dyDescent="0.3">
      <c r="A50" s="10">
        <v>44216</v>
      </c>
      <c r="B50" s="3" t="s">
        <v>177</v>
      </c>
      <c r="C50" s="11" t="s">
        <v>248</v>
      </c>
      <c r="D50" s="12">
        <v>76.25</v>
      </c>
      <c r="E50" s="1">
        <v>4</v>
      </c>
      <c r="F50" s="13">
        <f>InputData[[#This Row],[QUANTITY]]*InputData[[#This Row],[UNIT PRICE (R)]]</f>
        <v>305</v>
      </c>
      <c r="G50" s="1" t="str">
        <f>VLOOKUP(InputData[[#This Row],[CUSTOMER NAME]],Country[],2,0)</f>
        <v>India</v>
      </c>
      <c r="H50" s="1" t="str">
        <f>VLOOKUP(InputData[[#This Row],[CUSTOMER NAME]],Country[],3,0)</f>
        <v>North</v>
      </c>
      <c r="I50" s="1" t="str">
        <f>TEXT(InputData[[#This Row],[DATE]],"mmmm")</f>
        <v>January</v>
      </c>
      <c r="J50" s="1" t="str">
        <f>TEXT(InputData[[#This Row],[DATE]],"ddd")</f>
        <v>Wed</v>
      </c>
      <c r="K50" s="14">
        <f>WEEKNUM(InputData[[#This Row],[DATE]])</f>
        <v>4</v>
      </c>
      <c r="N50" s="3" t="s">
        <v>209</v>
      </c>
      <c r="O50" t="s">
        <v>188</v>
      </c>
      <c r="R50" s="3" t="s">
        <v>56</v>
      </c>
      <c r="S50" s="1" t="str">
        <f t="shared" si="0"/>
        <v>Northgate Industries</v>
      </c>
      <c r="V50"/>
      <c r="W50"/>
      <c r="Z50" s="11" t="s">
        <v>34</v>
      </c>
      <c r="AA50" s="1" t="str">
        <f t="shared" si="1"/>
        <v>L-Bracket 75mm</v>
      </c>
      <c r="AF50"/>
    </row>
    <row r="51" spans="1:32" x14ac:dyDescent="0.3">
      <c r="A51" s="10">
        <v>44216</v>
      </c>
      <c r="B51" s="3" t="s">
        <v>160</v>
      </c>
      <c r="C51" s="11" t="s">
        <v>249</v>
      </c>
      <c r="D51" s="12">
        <v>162.54</v>
      </c>
      <c r="E51" s="1">
        <v>2</v>
      </c>
      <c r="F51" s="13">
        <f>InputData[[#This Row],[QUANTITY]]*InputData[[#This Row],[UNIT PRICE (R)]]</f>
        <v>325.08</v>
      </c>
      <c r="G51" s="1" t="str">
        <f>VLOOKUP(InputData[[#This Row],[CUSTOMER NAME]],Country[],2,0)</f>
        <v>India</v>
      </c>
      <c r="H51" s="1" t="str">
        <f>VLOOKUP(InputData[[#This Row],[CUSTOMER NAME]],Country[],3,0)</f>
        <v>Western</v>
      </c>
      <c r="I51" s="1" t="str">
        <f>TEXT(InputData[[#This Row],[DATE]],"mmmm")</f>
        <v>January</v>
      </c>
      <c r="J51" s="1" t="str">
        <f>TEXT(InputData[[#This Row],[DATE]],"ddd")</f>
        <v>Wed</v>
      </c>
      <c r="K51" s="14">
        <f>WEEKNUM(InputData[[#This Row],[DATE]])</f>
        <v>4</v>
      </c>
      <c r="N51" s="3" t="s">
        <v>210</v>
      </c>
      <c r="O51" t="s">
        <v>189</v>
      </c>
      <c r="R51" s="3" t="s">
        <v>99</v>
      </c>
      <c r="S51" s="1" t="str">
        <f t="shared" si="0"/>
        <v>Northfield Traders</v>
      </c>
      <c r="V51"/>
      <c r="W51"/>
      <c r="Z51" s="11" t="s">
        <v>20</v>
      </c>
      <c r="AA51" s="1" t="str">
        <f t="shared" si="1"/>
        <v>Toggle Bolt M6</v>
      </c>
      <c r="AF51"/>
    </row>
    <row r="52" spans="1:32" x14ac:dyDescent="0.3">
      <c r="A52" s="10">
        <v>44216</v>
      </c>
      <c r="B52" s="3" t="s">
        <v>167</v>
      </c>
      <c r="C52" s="11" t="s">
        <v>242</v>
      </c>
      <c r="D52" s="12">
        <v>146.72</v>
      </c>
      <c r="E52" s="1">
        <v>7</v>
      </c>
      <c r="F52" s="13">
        <f>InputData[[#This Row],[QUANTITY]]*InputData[[#This Row],[UNIT PRICE (R)]]</f>
        <v>1027.04</v>
      </c>
      <c r="G52" s="1" t="str">
        <f>VLOOKUP(InputData[[#This Row],[CUSTOMER NAME]],Country[],2,0)</f>
        <v>Ethiopia</v>
      </c>
      <c r="H52" s="1" t="str">
        <f>VLOOKUP(InputData[[#This Row],[CUSTOMER NAME]],Country[],3,0)</f>
        <v>Export</v>
      </c>
      <c r="I52" s="1" t="str">
        <f>TEXT(InputData[[#This Row],[DATE]],"mmmm")</f>
        <v>January</v>
      </c>
      <c r="J52" s="1" t="str">
        <f>TEXT(InputData[[#This Row],[DATE]],"ddd")</f>
        <v>Wed</v>
      </c>
      <c r="K52" s="14">
        <f>WEEKNUM(InputData[[#This Row],[DATE]])</f>
        <v>4</v>
      </c>
      <c r="N52" s="3" t="s">
        <v>211</v>
      </c>
      <c r="O52" t="s">
        <v>190</v>
      </c>
      <c r="R52" s="3" t="s">
        <v>65</v>
      </c>
      <c r="S52" s="1" t="str">
        <f t="shared" si="0"/>
        <v>Talbot Street Merchants</v>
      </c>
      <c r="V52"/>
      <c r="W52"/>
      <c r="Z52" s="11" t="s">
        <v>21</v>
      </c>
      <c r="AA52" s="1" t="str">
        <f t="shared" si="1"/>
        <v>Pipe Clamp 25mm</v>
      </c>
      <c r="AF52"/>
    </row>
    <row r="53" spans="1:32" x14ac:dyDescent="0.3">
      <c r="A53" s="10">
        <v>44217</v>
      </c>
      <c r="B53" s="3" t="s">
        <v>178</v>
      </c>
      <c r="C53" s="11" t="s">
        <v>232</v>
      </c>
      <c r="D53" s="12">
        <v>48.84</v>
      </c>
      <c r="E53" s="1">
        <v>15</v>
      </c>
      <c r="F53" s="13">
        <f>InputData[[#This Row],[QUANTITY]]*InputData[[#This Row],[UNIT PRICE (R)]]</f>
        <v>732.6</v>
      </c>
      <c r="G53" s="1" t="str">
        <f>VLOOKUP(InputData[[#This Row],[CUSTOMER NAME]],Country[],2,0)</f>
        <v>Pakistan</v>
      </c>
      <c r="H53" s="1" t="str">
        <f>VLOOKUP(InputData[[#This Row],[CUSTOMER NAME]],Country[],3,0)</f>
        <v>Export</v>
      </c>
      <c r="I53" s="1" t="str">
        <f>TEXT(InputData[[#This Row],[DATE]],"mmmm")</f>
        <v>January</v>
      </c>
      <c r="J53" s="1" t="str">
        <f>TEXT(InputData[[#This Row],[DATE]],"ddd")</f>
        <v>Thu</v>
      </c>
      <c r="K53" s="14">
        <f>WEEKNUM(InputData[[#This Row],[DATE]])</f>
        <v>4</v>
      </c>
      <c r="N53" s="3" t="s">
        <v>212</v>
      </c>
      <c r="O53" t="s">
        <v>191</v>
      </c>
      <c r="R53" s="3" t="s">
        <v>72</v>
      </c>
      <c r="S53" s="1" t="str">
        <f t="shared" si="0"/>
        <v>Hendricks Mercantile</v>
      </c>
      <c r="V53"/>
      <c r="W53"/>
      <c r="Z53" s="11" t="s">
        <v>14</v>
      </c>
      <c r="AA53" s="1" t="str">
        <f t="shared" si="1"/>
        <v>Cap Screw M6</v>
      </c>
      <c r="AF53"/>
    </row>
    <row r="54" spans="1:32" x14ac:dyDescent="0.3">
      <c r="A54" s="10">
        <v>44217</v>
      </c>
      <c r="B54" s="3" t="s">
        <v>180</v>
      </c>
      <c r="C54" s="11" t="s">
        <v>270</v>
      </c>
      <c r="D54" s="12">
        <v>162</v>
      </c>
      <c r="E54" s="1">
        <v>6</v>
      </c>
      <c r="F54" s="13">
        <f>InputData[[#This Row],[QUANTITY]]*InputData[[#This Row],[UNIT PRICE (R)]]</f>
        <v>972</v>
      </c>
      <c r="G54" s="1" t="str">
        <f>VLOOKUP(InputData[[#This Row],[CUSTOMER NAME]],Country[],2,0)</f>
        <v>India</v>
      </c>
      <c r="H54" s="1" t="str">
        <f>VLOOKUP(InputData[[#This Row],[CUSTOMER NAME]],Country[],3,0)</f>
        <v>Northeast</v>
      </c>
      <c r="I54" s="1" t="str">
        <f>TEXT(InputData[[#This Row],[DATE]],"mmmm")</f>
        <v>January</v>
      </c>
      <c r="J54" s="1" t="str">
        <f>TEXT(InputData[[#This Row],[DATE]],"ddd")</f>
        <v>Thu</v>
      </c>
      <c r="K54" s="14">
        <f>WEEKNUM(InputData[[#This Row],[DATE]])</f>
        <v>4</v>
      </c>
      <c r="N54" s="3" t="s">
        <v>213</v>
      </c>
      <c r="O54" t="s">
        <v>192</v>
      </c>
      <c r="R54" s="3" t="s">
        <v>100</v>
      </c>
      <c r="S54" s="1" t="str">
        <f t="shared" si="0"/>
        <v>Pemberton &amp; Associates</v>
      </c>
      <c r="V54"/>
      <c r="W54"/>
      <c r="Z54" s="11" t="s">
        <v>4</v>
      </c>
      <c r="AA54" s="1" t="str">
        <f t="shared" si="1"/>
        <v>Carriage Bolt M8</v>
      </c>
      <c r="AF54"/>
    </row>
    <row r="55" spans="1:32" x14ac:dyDescent="0.3">
      <c r="A55" s="10">
        <v>44217</v>
      </c>
      <c r="B55" s="3" t="s">
        <v>171</v>
      </c>
      <c r="C55" s="11" t="s">
        <v>231</v>
      </c>
      <c r="D55" s="12">
        <v>80.94</v>
      </c>
      <c r="E55" s="1">
        <v>9</v>
      </c>
      <c r="F55" s="13">
        <f>InputData[[#This Row],[QUANTITY]]*InputData[[#This Row],[UNIT PRICE (R)]]</f>
        <v>728.46</v>
      </c>
      <c r="G55" s="1" t="str">
        <f>VLOOKUP(InputData[[#This Row],[CUSTOMER NAME]],Country[],2,0)</f>
        <v>India</v>
      </c>
      <c r="H55" s="1" t="str">
        <f>VLOOKUP(InputData[[#This Row],[CUSTOMER NAME]],Country[],3,0)</f>
        <v>South</v>
      </c>
      <c r="I55" s="1" t="str">
        <f>TEXT(InputData[[#This Row],[DATE]],"mmmm")</f>
        <v>January</v>
      </c>
      <c r="J55" s="1" t="str">
        <f>TEXT(InputData[[#This Row],[DATE]],"ddd")</f>
        <v>Thu</v>
      </c>
      <c r="K55" s="14">
        <f>WEEKNUM(InputData[[#This Row],[DATE]])</f>
        <v>4</v>
      </c>
      <c r="N55" s="3" t="s">
        <v>214</v>
      </c>
      <c r="O55" t="s">
        <v>193</v>
      </c>
      <c r="R55" s="3" t="s">
        <v>102</v>
      </c>
      <c r="S55" s="1" t="str">
        <f t="shared" si="0"/>
        <v>Kingsmead Distribution</v>
      </c>
      <c r="V55"/>
      <c r="W55"/>
      <c r="Z55" s="11" t="s">
        <v>42</v>
      </c>
      <c r="AA55" s="1" t="str">
        <f t="shared" si="1"/>
        <v>PVC Coupling 25mm</v>
      </c>
      <c r="AF55"/>
    </row>
    <row r="56" spans="1:32" x14ac:dyDescent="0.3">
      <c r="A56" s="10">
        <v>44218</v>
      </c>
      <c r="B56" s="3" t="s">
        <v>169</v>
      </c>
      <c r="C56" s="11" t="s">
        <v>229</v>
      </c>
      <c r="D56" s="12">
        <v>103.88</v>
      </c>
      <c r="E56" s="1">
        <v>6</v>
      </c>
      <c r="F56" s="13">
        <f>InputData[[#This Row],[QUANTITY]]*InputData[[#This Row],[UNIT PRICE (R)]]</f>
        <v>623.28</v>
      </c>
      <c r="G56" s="1" t="str">
        <f>VLOOKUP(InputData[[#This Row],[CUSTOMER NAME]],Country[],2,0)</f>
        <v>India</v>
      </c>
      <c r="H56" s="1" t="str">
        <f>VLOOKUP(InputData[[#This Row],[CUSTOMER NAME]],Country[],3,0)</f>
        <v>South</v>
      </c>
      <c r="I56" s="1" t="str">
        <f>TEXT(InputData[[#This Row],[DATE]],"mmmm")</f>
        <v>January</v>
      </c>
      <c r="J56" s="1" t="str">
        <f>TEXT(InputData[[#This Row],[DATE]],"ddd")</f>
        <v>Fri</v>
      </c>
      <c r="K56" s="14">
        <f>WEEKNUM(InputData[[#This Row],[DATE]])</f>
        <v>4</v>
      </c>
      <c r="N56" s="3" t="s">
        <v>215</v>
      </c>
      <c r="O56" t="s">
        <v>194</v>
      </c>
      <c r="R56" s="3" t="s">
        <v>76</v>
      </c>
      <c r="S56" s="1" t="str">
        <f t="shared" si="0"/>
        <v>Overton Retail Solutions</v>
      </c>
      <c r="V56"/>
      <c r="W56"/>
      <c r="Z56" s="11" t="s">
        <v>3</v>
      </c>
      <c r="AA56" s="1" t="str">
        <f t="shared" si="1"/>
        <v>Hex Bolt M12</v>
      </c>
      <c r="AF56"/>
    </row>
    <row r="57" spans="1:32" x14ac:dyDescent="0.3">
      <c r="A57" s="10">
        <v>44219</v>
      </c>
      <c r="B57" s="3" t="s">
        <v>153</v>
      </c>
      <c r="C57" s="11" t="s">
        <v>230</v>
      </c>
      <c r="D57" s="12">
        <v>142.80000000000001</v>
      </c>
      <c r="E57" s="1">
        <v>5</v>
      </c>
      <c r="F57" s="13">
        <f>InputData[[#This Row],[QUANTITY]]*InputData[[#This Row],[UNIT PRICE (R)]]</f>
        <v>714</v>
      </c>
      <c r="G57" s="1" t="str">
        <f>VLOOKUP(InputData[[#This Row],[CUSTOMER NAME]],Country[],2,0)</f>
        <v>Mexico</v>
      </c>
      <c r="H57" s="1" t="str">
        <f>VLOOKUP(InputData[[#This Row],[CUSTOMER NAME]],Country[],3,0)</f>
        <v>Export</v>
      </c>
      <c r="I57" s="1" t="str">
        <f>TEXT(InputData[[#This Row],[DATE]],"mmmm")</f>
        <v>January</v>
      </c>
      <c r="J57" s="1" t="str">
        <f>TEXT(InputData[[#This Row],[DATE]],"ddd")</f>
        <v>Sat</v>
      </c>
      <c r="K57" s="14">
        <f>WEEKNUM(InputData[[#This Row],[DATE]])</f>
        <v>4</v>
      </c>
      <c r="N57" s="3" t="s">
        <v>216</v>
      </c>
      <c r="O57" t="s">
        <v>195</v>
      </c>
      <c r="R57" s="3" t="s">
        <v>74</v>
      </c>
      <c r="S57" s="1" t="str">
        <f t="shared" si="0"/>
        <v>Millbrook Distribution</v>
      </c>
      <c r="V57"/>
      <c r="W57"/>
      <c r="Z57" s="11" t="s">
        <v>1</v>
      </c>
      <c r="AA57" s="1" t="str">
        <f t="shared" si="1"/>
        <v>Hex Bolt M8</v>
      </c>
      <c r="AF57"/>
    </row>
    <row r="58" spans="1:32" x14ac:dyDescent="0.3">
      <c r="A58" s="10">
        <v>44219</v>
      </c>
      <c r="B58" s="3" t="s">
        <v>160</v>
      </c>
      <c r="C58" s="11" t="s">
        <v>236</v>
      </c>
      <c r="D58" s="12">
        <v>94.62</v>
      </c>
      <c r="E58" s="1">
        <v>17</v>
      </c>
      <c r="F58" s="13">
        <f>InputData[[#This Row],[QUANTITY]]*InputData[[#This Row],[UNIT PRICE (R)]]</f>
        <v>1608.54</v>
      </c>
      <c r="G58" s="1" t="str">
        <f>VLOOKUP(InputData[[#This Row],[CUSTOMER NAME]],Country[],2,0)</f>
        <v>India</v>
      </c>
      <c r="H58" s="1" t="str">
        <f>VLOOKUP(InputData[[#This Row],[CUSTOMER NAME]],Country[],3,0)</f>
        <v>Western</v>
      </c>
      <c r="I58" s="1" t="str">
        <f>TEXT(InputData[[#This Row],[DATE]],"mmmm")</f>
        <v>January</v>
      </c>
      <c r="J58" s="1" t="str">
        <f>TEXT(InputData[[#This Row],[DATE]],"ddd")</f>
        <v>Sat</v>
      </c>
      <c r="K58" s="14">
        <f>WEEKNUM(InputData[[#This Row],[DATE]])</f>
        <v>4</v>
      </c>
      <c r="N58" s="3" t="s">
        <v>217</v>
      </c>
      <c r="O58" t="s">
        <v>196</v>
      </c>
      <c r="R58" s="3" t="s">
        <v>58</v>
      </c>
      <c r="S58" s="1" t="str">
        <f t="shared" si="0"/>
        <v>Redwood Mercantile</v>
      </c>
      <c r="V58"/>
      <c r="W58"/>
      <c r="Z58" s="11" t="s">
        <v>2</v>
      </c>
      <c r="AA58" s="1" t="str">
        <f t="shared" si="1"/>
        <v>Hex Bolt M10</v>
      </c>
      <c r="AF58"/>
    </row>
    <row r="59" spans="1:32" x14ac:dyDescent="0.3">
      <c r="A59" s="10">
        <v>44219</v>
      </c>
      <c r="B59" s="3" t="s">
        <v>161</v>
      </c>
      <c r="C59" s="11" t="s">
        <v>270</v>
      </c>
      <c r="D59" s="12">
        <v>162</v>
      </c>
      <c r="E59" s="1">
        <v>8</v>
      </c>
      <c r="F59" s="13">
        <f>InputData[[#This Row],[QUANTITY]]*InputData[[#This Row],[UNIT PRICE (R)]]</f>
        <v>1296</v>
      </c>
      <c r="G59" s="1" t="str">
        <f>VLOOKUP(InputData[[#This Row],[CUSTOMER NAME]],Country[],2,0)</f>
        <v>India</v>
      </c>
      <c r="H59" s="1" t="str">
        <f>VLOOKUP(InputData[[#This Row],[CUSTOMER NAME]],Country[],3,0)</f>
        <v>Central</v>
      </c>
      <c r="I59" s="1" t="str">
        <f>TEXT(InputData[[#This Row],[DATE]],"mmmm")</f>
        <v>January</v>
      </c>
      <c r="J59" s="1" t="str">
        <f>TEXT(InputData[[#This Row],[DATE]],"ddd")</f>
        <v>Sat</v>
      </c>
      <c r="K59" s="14">
        <f>WEEKNUM(InputData[[#This Row],[DATE]])</f>
        <v>4</v>
      </c>
      <c r="N59" s="3" t="s">
        <v>218</v>
      </c>
      <c r="O59" t="s">
        <v>197</v>
      </c>
      <c r="R59" s="3" t="s">
        <v>65</v>
      </c>
      <c r="S59" s="1" t="str">
        <f t="shared" si="0"/>
        <v>Talbot Street Merchants</v>
      </c>
      <c r="V59"/>
      <c r="W59"/>
      <c r="Z59" s="11" t="s">
        <v>8</v>
      </c>
      <c r="AA59" s="1" t="str">
        <f t="shared" si="1"/>
        <v>Flat Washer M10</v>
      </c>
      <c r="AF59"/>
    </row>
    <row r="60" spans="1:32" x14ac:dyDescent="0.3">
      <c r="A60" s="10">
        <v>44220</v>
      </c>
      <c r="B60" s="3" t="s">
        <v>168</v>
      </c>
      <c r="C60" s="11" t="s">
        <v>258</v>
      </c>
      <c r="D60" s="12">
        <v>201.28</v>
      </c>
      <c r="E60" s="1">
        <v>15</v>
      </c>
      <c r="F60" s="13">
        <f>InputData[[#This Row],[QUANTITY]]*InputData[[#This Row],[UNIT PRICE (R)]]</f>
        <v>3019.2</v>
      </c>
      <c r="G60" s="1" t="str">
        <f>VLOOKUP(InputData[[#This Row],[CUSTOMER NAME]],Country[],2,0)</f>
        <v>India</v>
      </c>
      <c r="H60" s="1" t="str">
        <f>VLOOKUP(InputData[[#This Row],[CUSTOMER NAME]],Country[],3,0)</f>
        <v>Northeast</v>
      </c>
      <c r="I60" s="1" t="str">
        <f>TEXT(InputData[[#This Row],[DATE]],"mmmm")</f>
        <v>January</v>
      </c>
      <c r="J60" s="1" t="str">
        <f>TEXT(InputData[[#This Row],[DATE]],"ddd")</f>
        <v>Sun</v>
      </c>
      <c r="K60" s="14">
        <f>WEEKNUM(InputData[[#This Row],[DATE]])</f>
        <v>5</v>
      </c>
      <c r="N60" s="3" t="s">
        <v>219</v>
      </c>
      <c r="O60" t="s">
        <v>198</v>
      </c>
      <c r="R60" s="3" t="s">
        <v>66</v>
      </c>
      <c r="S60" s="1" t="str">
        <f t="shared" si="0"/>
        <v>Whitfield Distributors</v>
      </c>
      <c r="V60"/>
      <c r="W60"/>
      <c r="Z60" s="11" t="s">
        <v>42</v>
      </c>
      <c r="AA60" s="1" t="str">
        <f t="shared" si="1"/>
        <v>PVC Coupling 25mm</v>
      </c>
      <c r="AF60"/>
    </row>
    <row r="61" spans="1:32" x14ac:dyDescent="0.3">
      <c r="A61" s="10">
        <v>44221</v>
      </c>
      <c r="B61" s="3" t="s">
        <v>143</v>
      </c>
      <c r="C61" s="11" t="s">
        <v>259</v>
      </c>
      <c r="D61" s="12">
        <v>104.16</v>
      </c>
      <c r="E61" s="1">
        <v>14</v>
      </c>
      <c r="F61" s="13">
        <f>InputData[[#This Row],[QUANTITY]]*InputData[[#This Row],[UNIT PRICE (R)]]</f>
        <v>1458.24</v>
      </c>
      <c r="G61" s="1" t="str">
        <f>VLOOKUP(InputData[[#This Row],[CUSTOMER NAME]],Country[],2,0)</f>
        <v>Nigeria</v>
      </c>
      <c r="H61" s="1" t="str">
        <f>VLOOKUP(InputData[[#This Row],[CUSTOMER NAME]],Country[],3,0)</f>
        <v>Export</v>
      </c>
      <c r="I61" s="1" t="str">
        <f>TEXT(InputData[[#This Row],[DATE]],"mmmm")</f>
        <v>January</v>
      </c>
      <c r="J61" s="1" t="str">
        <f>TEXT(InputData[[#This Row],[DATE]],"ddd")</f>
        <v>Mon</v>
      </c>
      <c r="K61" s="14">
        <f>WEEKNUM(InputData[[#This Row],[DATE]])</f>
        <v>5</v>
      </c>
      <c r="N61" s="3" t="s">
        <v>220</v>
      </c>
      <c r="O61" t="s">
        <v>199</v>
      </c>
      <c r="R61" s="3" t="s">
        <v>73</v>
      </c>
      <c r="S61" s="1" t="str">
        <f t="shared" si="0"/>
        <v>Ashworth Trading Group</v>
      </c>
      <c r="V61"/>
      <c r="W61"/>
      <c r="Z61" s="11" t="s">
        <v>30</v>
      </c>
      <c r="AA61" s="1" t="str">
        <f t="shared" si="1"/>
        <v>Door Latch Set</v>
      </c>
      <c r="AF61"/>
    </row>
    <row r="62" spans="1:32" x14ac:dyDescent="0.3">
      <c r="A62" s="10">
        <v>44221</v>
      </c>
      <c r="B62" s="3" t="s">
        <v>173</v>
      </c>
      <c r="C62" s="11" t="s">
        <v>263</v>
      </c>
      <c r="D62" s="12">
        <v>6.7</v>
      </c>
      <c r="E62" s="1">
        <v>7</v>
      </c>
      <c r="F62" s="13">
        <f>InputData[[#This Row],[QUANTITY]]*InputData[[#This Row],[UNIT PRICE (R)]]</f>
        <v>46.9</v>
      </c>
      <c r="G62" s="1" t="str">
        <f>VLOOKUP(InputData[[#This Row],[CUSTOMER NAME]],Country[],2,0)</f>
        <v>India</v>
      </c>
      <c r="H62" s="1" t="str">
        <f>VLOOKUP(InputData[[#This Row],[CUSTOMER NAME]],Country[],3,0)</f>
        <v>North</v>
      </c>
      <c r="I62" s="1" t="str">
        <f>TEXT(InputData[[#This Row],[DATE]],"mmmm")</f>
        <v>January</v>
      </c>
      <c r="J62" s="1" t="str">
        <f>TEXT(InputData[[#This Row],[DATE]],"ddd")</f>
        <v>Mon</v>
      </c>
      <c r="K62" s="14">
        <f>WEEKNUM(InputData[[#This Row],[DATE]])</f>
        <v>5</v>
      </c>
      <c r="N62" s="3" t="s">
        <v>221</v>
      </c>
      <c r="O62" t="s">
        <v>200</v>
      </c>
      <c r="R62" s="3" t="s">
        <v>48</v>
      </c>
      <c r="S62" s="1" t="str">
        <f t="shared" si="0"/>
        <v>Thornwell Trading</v>
      </c>
      <c r="V62"/>
      <c r="W62"/>
      <c r="Z62" s="11" t="s">
        <v>31</v>
      </c>
      <c r="AA62" s="1" t="str">
        <f t="shared" si="1"/>
        <v>Gate Bolt 150mm</v>
      </c>
      <c r="AF62"/>
    </row>
    <row r="63" spans="1:32" x14ac:dyDescent="0.3">
      <c r="A63" s="10">
        <v>44221</v>
      </c>
      <c r="B63" s="3" t="s">
        <v>150</v>
      </c>
      <c r="C63" s="11" t="s">
        <v>262</v>
      </c>
      <c r="D63" s="12">
        <v>58.3</v>
      </c>
      <c r="E63" s="1">
        <v>6</v>
      </c>
      <c r="F63" s="13">
        <f>InputData[[#This Row],[QUANTITY]]*InputData[[#This Row],[UNIT PRICE (R)]]</f>
        <v>349.79999999999995</v>
      </c>
      <c r="G63" s="1" t="str">
        <f>VLOOKUP(InputData[[#This Row],[CUSTOMER NAME]],Country[],2,0)</f>
        <v>United Kingdom</v>
      </c>
      <c r="H63" s="1" t="str">
        <f>VLOOKUP(InputData[[#This Row],[CUSTOMER NAME]],Country[],3,0)</f>
        <v>Export</v>
      </c>
      <c r="I63" s="1" t="str">
        <f>TEXT(InputData[[#This Row],[DATE]],"mmmm")</f>
        <v>January</v>
      </c>
      <c r="J63" s="1" t="str">
        <f>TEXT(InputData[[#This Row],[DATE]],"ddd")</f>
        <v>Mon</v>
      </c>
      <c r="K63" s="14">
        <f>WEEKNUM(InputData[[#This Row],[DATE]])</f>
        <v>5</v>
      </c>
      <c r="N63" s="3" t="s">
        <v>222</v>
      </c>
      <c r="O63" t="s">
        <v>201</v>
      </c>
      <c r="R63" s="3" t="s">
        <v>95</v>
      </c>
      <c r="S63" s="1" t="str">
        <f t="shared" si="0"/>
        <v>Cobalt Point Supplies</v>
      </c>
      <c r="V63"/>
      <c r="W63"/>
      <c r="Z63" s="11" t="s">
        <v>35</v>
      </c>
      <c r="AA63" s="1" t="str">
        <f t="shared" si="1"/>
        <v>T-Bracket 100mm</v>
      </c>
      <c r="AF63"/>
    </row>
    <row r="64" spans="1:32" x14ac:dyDescent="0.3">
      <c r="A64" s="10">
        <v>44221</v>
      </c>
      <c r="B64" s="3" t="s">
        <v>163</v>
      </c>
      <c r="C64" s="11" t="s">
        <v>245</v>
      </c>
      <c r="D64" s="12">
        <v>156.78</v>
      </c>
      <c r="E64" s="1">
        <v>14</v>
      </c>
      <c r="F64" s="13">
        <f>InputData[[#This Row],[QUANTITY]]*InputData[[#This Row],[UNIT PRICE (R)]]</f>
        <v>2194.92</v>
      </c>
      <c r="G64" s="1" t="str">
        <f>VLOOKUP(InputData[[#This Row],[CUSTOMER NAME]],Country[],2,0)</f>
        <v>South Africa</v>
      </c>
      <c r="H64" s="1" t="str">
        <f>VLOOKUP(InputData[[#This Row],[CUSTOMER NAME]],Country[],3,0)</f>
        <v>Export</v>
      </c>
      <c r="I64" s="1" t="str">
        <f>TEXT(InputData[[#This Row],[DATE]],"mmmm")</f>
        <v>January</v>
      </c>
      <c r="J64" s="1" t="str">
        <f>TEXT(InputData[[#This Row],[DATE]],"ddd")</f>
        <v>Mon</v>
      </c>
      <c r="K64" s="14">
        <f>WEEKNUM(InputData[[#This Row],[DATE]])</f>
        <v>5</v>
      </c>
      <c r="N64" s="3" t="s">
        <v>223</v>
      </c>
      <c r="O64" t="s">
        <v>202</v>
      </c>
      <c r="R64" s="3" t="s">
        <v>55</v>
      </c>
      <c r="S64" s="1" t="str">
        <f t="shared" si="0"/>
        <v>Silverline Wholesalers</v>
      </c>
      <c r="V64"/>
      <c r="W64"/>
      <c r="Z64" s="11" t="s">
        <v>34</v>
      </c>
      <c r="AA64" s="1" t="str">
        <f t="shared" si="1"/>
        <v>L-Bracket 75mm</v>
      </c>
      <c r="AF64"/>
    </row>
    <row r="65" spans="1:32" x14ac:dyDescent="0.3">
      <c r="A65" s="10">
        <v>44222</v>
      </c>
      <c r="B65" s="3" t="s">
        <v>173</v>
      </c>
      <c r="C65" s="11" t="s">
        <v>252</v>
      </c>
      <c r="D65" s="12">
        <v>156.96</v>
      </c>
      <c r="E65" s="1">
        <v>29</v>
      </c>
      <c r="F65" s="13">
        <f>InputData[[#This Row],[QUANTITY]]*InputData[[#This Row],[UNIT PRICE (R)]]</f>
        <v>4551.84</v>
      </c>
      <c r="G65" s="1" t="str">
        <f>VLOOKUP(InputData[[#This Row],[CUSTOMER NAME]],Country[],2,0)</f>
        <v>India</v>
      </c>
      <c r="H65" s="1" t="str">
        <f>VLOOKUP(InputData[[#This Row],[CUSTOMER NAME]],Country[],3,0)</f>
        <v>North</v>
      </c>
      <c r="I65" s="1" t="str">
        <f>TEXT(InputData[[#This Row],[DATE]],"mmmm")</f>
        <v>January</v>
      </c>
      <c r="J65" s="1" t="str">
        <f>TEXT(InputData[[#This Row],[DATE]],"ddd")</f>
        <v>Tue</v>
      </c>
      <c r="K65" s="14">
        <f>WEEKNUM(InputData[[#This Row],[DATE]])</f>
        <v>5</v>
      </c>
      <c r="N65"/>
      <c r="R65" s="3" t="s">
        <v>68</v>
      </c>
      <c r="S65" s="1" t="str">
        <f t="shared" si="0"/>
        <v>Delacroix Wholesale</v>
      </c>
      <c r="V65"/>
      <c r="Z65" s="11" t="s">
        <v>17</v>
      </c>
      <c r="AA65" s="1" t="str">
        <f t="shared" si="1"/>
        <v>Cotter Pin 3mm</v>
      </c>
      <c r="AF65"/>
    </row>
    <row r="66" spans="1:32" x14ac:dyDescent="0.3">
      <c r="A66" s="10">
        <v>44222</v>
      </c>
      <c r="B66" s="3" t="s">
        <v>148</v>
      </c>
      <c r="C66" s="11" t="s">
        <v>272</v>
      </c>
      <c r="D66" s="12">
        <v>82.08</v>
      </c>
      <c r="E66" s="1">
        <v>9</v>
      </c>
      <c r="F66" s="13">
        <f>InputData[[#This Row],[QUANTITY]]*InputData[[#This Row],[UNIT PRICE (R)]]</f>
        <v>738.72</v>
      </c>
      <c r="G66" s="1" t="str">
        <f>VLOOKUP(InputData[[#This Row],[CUSTOMER NAME]],Country[],2,0)</f>
        <v>Pakistan</v>
      </c>
      <c r="H66" s="1" t="str">
        <f>VLOOKUP(InputData[[#This Row],[CUSTOMER NAME]],Country[],3,0)</f>
        <v>Export</v>
      </c>
      <c r="I66" s="1" t="str">
        <f>TEXT(InputData[[#This Row],[DATE]],"mmmm")</f>
        <v>January</v>
      </c>
      <c r="J66" s="1" t="str">
        <f>TEXT(InputData[[#This Row],[DATE]],"ddd")</f>
        <v>Tue</v>
      </c>
      <c r="K66" s="14">
        <f>WEEKNUM(InputData[[#This Row],[DATE]])</f>
        <v>5</v>
      </c>
      <c r="N66"/>
      <c r="R66" s="3" t="s">
        <v>95</v>
      </c>
      <c r="S66" s="1" t="str">
        <f t="shared" si="0"/>
        <v>Cobalt Point Supplies</v>
      </c>
      <c r="V66"/>
      <c r="Z66" s="11" t="s">
        <v>24</v>
      </c>
      <c r="AA66" s="1" t="str">
        <f t="shared" si="1"/>
        <v>Eye Bolt M10</v>
      </c>
      <c r="AF66"/>
    </row>
    <row r="67" spans="1:32" x14ac:dyDescent="0.3">
      <c r="A67" s="10">
        <v>44222</v>
      </c>
      <c r="B67" s="3" t="s">
        <v>176</v>
      </c>
      <c r="C67" s="11" t="s">
        <v>229</v>
      </c>
      <c r="D67" s="12">
        <v>103.88</v>
      </c>
      <c r="E67" s="1">
        <v>7</v>
      </c>
      <c r="F67" s="13">
        <f>InputData[[#This Row],[QUANTITY]]*InputData[[#This Row],[UNIT PRICE (R)]]</f>
        <v>727.16</v>
      </c>
      <c r="G67" s="1" t="str">
        <f>VLOOKUP(InputData[[#This Row],[CUSTOMER NAME]],Country[],2,0)</f>
        <v>India</v>
      </c>
      <c r="H67" s="1" t="str">
        <f>VLOOKUP(InputData[[#This Row],[CUSTOMER NAME]],Country[],3,0)</f>
        <v>Northeast</v>
      </c>
      <c r="I67" s="1" t="str">
        <f>TEXT(InputData[[#This Row],[DATE]],"mmmm")</f>
        <v>January</v>
      </c>
      <c r="J67" s="1" t="str">
        <f>TEXT(InputData[[#This Row],[DATE]],"ddd")</f>
        <v>Tue</v>
      </c>
      <c r="K67" s="14">
        <f>WEEKNUM(InputData[[#This Row],[DATE]])</f>
        <v>5</v>
      </c>
      <c r="N67"/>
      <c r="R67" s="3" t="s">
        <v>53</v>
      </c>
      <c r="S67" s="1" t="str">
        <f t="shared" si="0"/>
        <v>Vantage Point Retailers</v>
      </c>
      <c r="V67"/>
      <c r="Z67" s="11" t="s">
        <v>44</v>
      </c>
      <c r="AA67" s="1" t="str">
        <f t="shared" si="1"/>
        <v>Brass Elbow Joint 20mm</v>
      </c>
      <c r="AF67"/>
    </row>
    <row r="68" spans="1:32" x14ac:dyDescent="0.3">
      <c r="A68" s="10">
        <v>44222</v>
      </c>
      <c r="B68" s="3" t="s">
        <v>159</v>
      </c>
      <c r="C68" s="11" t="s">
        <v>234</v>
      </c>
      <c r="D68" s="12">
        <v>85.5</v>
      </c>
      <c r="E68" s="1">
        <v>7</v>
      </c>
      <c r="F68" s="13">
        <f>InputData[[#This Row],[QUANTITY]]*InputData[[#This Row],[UNIT PRICE (R)]]</f>
        <v>598.5</v>
      </c>
      <c r="G68" s="1" t="str">
        <f>VLOOKUP(InputData[[#This Row],[CUSTOMER NAME]],Country[],2,0)</f>
        <v>Saudi Arabia</v>
      </c>
      <c r="H68" s="1" t="str">
        <f>VLOOKUP(InputData[[#This Row],[CUSTOMER NAME]],Country[],3,0)</f>
        <v>Export</v>
      </c>
      <c r="I68" s="1" t="str">
        <f>TEXT(InputData[[#This Row],[DATE]],"mmmm")</f>
        <v>January</v>
      </c>
      <c r="J68" s="1" t="str">
        <f>TEXT(InputData[[#This Row],[DATE]],"ddd")</f>
        <v>Tue</v>
      </c>
      <c r="K68" s="14">
        <f>WEEKNUM(InputData[[#This Row],[DATE]])</f>
        <v>5</v>
      </c>
      <c r="N68"/>
      <c r="R68" s="3" t="s">
        <v>98</v>
      </c>
      <c r="S68" s="1" t="str">
        <f t="shared" si="0"/>
        <v>Alderman Retail Group</v>
      </c>
      <c r="V68"/>
      <c r="Z68" s="11" t="s">
        <v>1</v>
      </c>
      <c r="AA68" s="1" t="str">
        <f t="shared" si="1"/>
        <v>Hex Bolt M8</v>
      </c>
      <c r="AF68"/>
    </row>
    <row r="69" spans="1:32" x14ac:dyDescent="0.3">
      <c r="A69" s="10">
        <v>44222</v>
      </c>
      <c r="B69" s="3" t="s">
        <v>160</v>
      </c>
      <c r="C69" s="11" t="s">
        <v>238</v>
      </c>
      <c r="D69" s="12">
        <v>164.28</v>
      </c>
      <c r="E69" s="1">
        <v>1</v>
      </c>
      <c r="F69" s="13">
        <f>InputData[[#This Row],[QUANTITY]]*InputData[[#This Row],[UNIT PRICE (R)]]</f>
        <v>164.28</v>
      </c>
      <c r="G69" s="1" t="str">
        <f>VLOOKUP(InputData[[#This Row],[CUSTOMER NAME]],Country[],2,0)</f>
        <v>India</v>
      </c>
      <c r="H69" s="1" t="str">
        <f>VLOOKUP(InputData[[#This Row],[CUSTOMER NAME]],Country[],3,0)</f>
        <v>Western</v>
      </c>
      <c r="I69" s="1" t="str">
        <f>TEXT(InputData[[#This Row],[DATE]],"mmmm")</f>
        <v>January</v>
      </c>
      <c r="J69" s="1" t="str">
        <f>TEXT(InputData[[#This Row],[DATE]],"ddd")</f>
        <v>Tue</v>
      </c>
      <c r="K69" s="14">
        <f>WEEKNUM(InputData[[#This Row],[DATE]])</f>
        <v>5</v>
      </c>
      <c r="N69"/>
      <c r="R69" s="3" t="s">
        <v>64</v>
      </c>
      <c r="S69" s="1" t="str">
        <f t="shared" si="0"/>
        <v>Ridgeway Commercial</v>
      </c>
      <c r="V69"/>
      <c r="Z69" s="11" t="s">
        <v>6</v>
      </c>
      <c r="AA69" s="1" t="str">
        <f t="shared" si="1"/>
        <v>Flange Nut M10</v>
      </c>
      <c r="AF69"/>
    </row>
    <row r="70" spans="1:32" x14ac:dyDescent="0.3">
      <c r="A70" s="10">
        <v>44223</v>
      </c>
      <c r="B70" s="3" t="s">
        <v>150</v>
      </c>
      <c r="C70" s="11" t="s">
        <v>260</v>
      </c>
      <c r="D70" s="12">
        <v>117.48</v>
      </c>
      <c r="E70" s="1">
        <v>3</v>
      </c>
      <c r="F70" s="13">
        <f>InputData[[#This Row],[QUANTITY]]*InputData[[#This Row],[UNIT PRICE (R)]]</f>
        <v>352.44</v>
      </c>
      <c r="G70" s="1" t="str">
        <f>VLOOKUP(InputData[[#This Row],[CUSTOMER NAME]],Country[],2,0)</f>
        <v>United Kingdom</v>
      </c>
      <c r="H70" s="1" t="str">
        <f>VLOOKUP(InputData[[#This Row],[CUSTOMER NAME]],Country[],3,0)</f>
        <v>Export</v>
      </c>
      <c r="I70" s="1" t="str">
        <f>TEXT(InputData[[#This Row],[DATE]],"mmmm")</f>
        <v>January</v>
      </c>
      <c r="J70" s="1" t="str">
        <f>TEXT(InputData[[#This Row],[DATE]],"ddd")</f>
        <v>Wed</v>
      </c>
      <c r="K70" s="14">
        <f>WEEKNUM(InputData[[#This Row],[DATE]])</f>
        <v>5</v>
      </c>
      <c r="N70"/>
      <c r="R70" s="3" t="s">
        <v>65</v>
      </c>
      <c r="S70" s="1" t="str">
        <f t="shared" si="0"/>
        <v>Talbot Street Merchants</v>
      </c>
      <c r="V70"/>
      <c r="Z70" s="11" t="s">
        <v>10</v>
      </c>
      <c r="AA70" s="1" t="str">
        <f t="shared" si="1"/>
        <v>Self-Tapping Screw 25mm</v>
      </c>
      <c r="AF70"/>
    </row>
    <row r="71" spans="1:32" x14ac:dyDescent="0.3">
      <c r="A71" s="10">
        <v>44223</v>
      </c>
      <c r="B71" s="3" t="s">
        <v>157</v>
      </c>
      <c r="C71" s="11" t="s">
        <v>268</v>
      </c>
      <c r="D71" s="12">
        <v>115.2</v>
      </c>
      <c r="E71" s="1">
        <v>7</v>
      </c>
      <c r="F71" s="13">
        <f>InputData[[#This Row],[QUANTITY]]*InputData[[#This Row],[UNIT PRICE (R)]]</f>
        <v>806.4</v>
      </c>
      <c r="G71" s="1" t="str">
        <f>VLOOKUP(InputData[[#This Row],[CUSTOMER NAME]],Country[],2,0)</f>
        <v>Brazil</v>
      </c>
      <c r="H71" s="1" t="str">
        <f>VLOOKUP(InputData[[#This Row],[CUSTOMER NAME]],Country[],3,0)</f>
        <v>Export</v>
      </c>
      <c r="I71" s="1" t="str">
        <f>TEXT(InputData[[#This Row],[DATE]],"mmmm")</f>
        <v>January</v>
      </c>
      <c r="J71" s="1" t="str">
        <f>TEXT(InputData[[#This Row],[DATE]],"ddd")</f>
        <v>Wed</v>
      </c>
      <c r="K71" s="14">
        <f>WEEKNUM(InputData[[#This Row],[DATE]])</f>
        <v>5</v>
      </c>
      <c r="N71"/>
      <c r="R71" s="3" t="s">
        <v>55</v>
      </c>
      <c r="S71" s="1" t="str">
        <f t="shared" ref="S71:S134" si="2">_xlfn.XLOOKUP(R71,$N$5:$N$64,$O$5:$O$64,"Not Found")</f>
        <v>Silverline Wholesalers</v>
      </c>
      <c r="V71"/>
      <c r="Z71" s="11" t="s">
        <v>32</v>
      </c>
      <c r="AA71" s="1" t="str">
        <f t="shared" ref="AA71:AA134" si="3">_xlfn.XLOOKUP(Z71,$V$5:$V$48,$W$5:$W$48,"Not Found",0)</f>
        <v>Corner Bracket 50mm</v>
      </c>
      <c r="AF71"/>
    </row>
    <row r="72" spans="1:32" x14ac:dyDescent="0.3">
      <c r="A72" s="10">
        <v>44223</v>
      </c>
      <c r="B72" s="3" t="s">
        <v>158</v>
      </c>
      <c r="C72" s="11" t="s">
        <v>233</v>
      </c>
      <c r="D72" s="12">
        <v>155.61000000000001</v>
      </c>
      <c r="E72" s="1">
        <v>37</v>
      </c>
      <c r="F72" s="13">
        <f>InputData[[#This Row],[QUANTITY]]*InputData[[#This Row],[UNIT PRICE (R)]]</f>
        <v>5757.5700000000006</v>
      </c>
      <c r="G72" s="1" t="str">
        <f>VLOOKUP(InputData[[#This Row],[CUSTOMER NAME]],Country[],2,0)</f>
        <v>Russia</v>
      </c>
      <c r="H72" s="1" t="str">
        <f>VLOOKUP(InputData[[#This Row],[CUSTOMER NAME]],Country[],3,0)</f>
        <v>Export</v>
      </c>
      <c r="I72" s="1" t="str">
        <f>TEXT(InputData[[#This Row],[DATE]],"mmmm")</f>
        <v>January</v>
      </c>
      <c r="J72" s="1" t="str">
        <f>TEXT(InputData[[#This Row],[DATE]],"ddd")</f>
        <v>Wed</v>
      </c>
      <c r="K72" s="14">
        <f>WEEKNUM(InputData[[#This Row],[DATE]])</f>
        <v>5</v>
      </c>
      <c r="N72"/>
      <c r="R72" s="3" t="s">
        <v>62</v>
      </c>
      <c r="S72" s="1" t="str">
        <f t="shared" si="2"/>
        <v>Marchbank Traders</v>
      </c>
      <c r="V72"/>
      <c r="Z72" s="11" t="s">
        <v>40</v>
      </c>
      <c r="AA72" s="1" t="str">
        <f t="shared" si="3"/>
        <v>Conduit Clamp 25mm</v>
      </c>
      <c r="AF72"/>
    </row>
    <row r="73" spans="1:32" x14ac:dyDescent="0.3">
      <c r="A73" s="10">
        <v>44223</v>
      </c>
      <c r="B73" s="3" t="s">
        <v>167</v>
      </c>
      <c r="C73" s="11" t="s">
        <v>247</v>
      </c>
      <c r="D73" s="12">
        <v>210</v>
      </c>
      <c r="E73" s="1">
        <v>21</v>
      </c>
      <c r="F73" s="13">
        <f>InputData[[#This Row],[QUANTITY]]*InputData[[#This Row],[UNIT PRICE (R)]]</f>
        <v>4410</v>
      </c>
      <c r="G73" s="1" t="str">
        <f>VLOOKUP(InputData[[#This Row],[CUSTOMER NAME]],Country[],2,0)</f>
        <v>Ethiopia</v>
      </c>
      <c r="H73" s="1" t="str">
        <f>VLOOKUP(InputData[[#This Row],[CUSTOMER NAME]],Country[],3,0)</f>
        <v>Export</v>
      </c>
      <c r="I73" s="1" t="str">
        <f>TEXT(InputData[[#This Row],[DATE]],"mmmm")</f>
        <v>January</v>
      </c>
      <c r="J73" s="1" t="str">
        <f>TEXT(InputData[[#This Row],[DATE]],"ddd")</f>
        <v>Wed</v>
      </c>
      <c r="K73" s="14">
        <f>WEEKNUM(InputData[[#This Row],[DATE]])</f>
        <v>5</v>
      </c>
      <c r="N73"/>
      <c r="R73" s="3" t="s">
        <v>63</v>
      </c>
      <c r="S73" s="1" t="str">
        <f t="shared" si="2"/>
        <v>Ovenden &amp; Sons</v>
      </c>
      <c r="V73"/>
      <c r="Z73" s="11" t="s">
        <v>5</v>
      </c>
      <c r="AA73" s="1" t="str">
        <f t="shared" si="3"/>
        <v>Wing Nut M6</v>
      </c>
      <c r="AF73"/>
    </row>
    <row r="74" spans="1:32" x14ac:dyDescent="0.3">
      <c r="A74" s="10">
        <v>44224</v>
      </c>
      <c r="B74" s="3" t="s">
        <v>173</v>
      </c>
      <c r="C74" s="11" t="s">
        <v>244</v>
      </c>
      <c r="D74" s="12">
        <v>16.64</v>
      </c>
      <c r="E74" s="1">
        <v>11</v>
      </c>
      <c r="F74" s="13">
        <f>InputData[[#This Row],[QUANTITY]]*InputData[[#This Row],[UNIT PRICE (R)]]</f>
        <v>183.04000000000002</v>
      </c>
      <c r="G74" s="1" t="str">
        <f>VLOOKUP(InputData[[#This Row],[CUSTOMER NAME]],Country[],2,0)</f>
        <v>India</v>
      </c>
      <c r="H74" s="1" t="str">
        <f>VLOOKUP(InputData[[#This Row],[CUSTOMER NAME]],Country[],3,0)</f>
        <v>North</v>
      </c>
      <c r="I74" s="1" t="str">
        <f>TEXT(InputData[[#This Row],[DATE]],"mmmm")</f>
        <v>January</v>
      </c>
      <c r="J74" s="1" t="str">
        <f>TEXT(InputData[[#This Row],[DATE]],"ddd")</f>
        <v>Thu</v>
      </c>
      <c r="K74" s="14">
        <f>WEEKNUM(InputData[[#This Row],[DATE]])</f>
        <v>5</v>
      </c>
      <c r="N74"/>
      <c r="R74" s="3" t="s">
        <v>72</v>
      </c>
      <c r="S74" s="1" t="str">
        <f t="shared" si="2"/>
        <v>Hendricks Mercantile</v>
      </c>
      <c r="V74"/>
      <c r="Z74" s="11" t="s">
        <v>19</v>
      </c>
      <c r="AA74" s="1" t="str">
        <f t="shared" si="3"/>
        <v>Anchor Bolt M10</v>
      </c>
      <c r="AF74"/>
    </row>
    <row r="75" spans="1:32" x14ac:dyDescent="0.3">
      <c r="A75" s="10">
        <v>44224</v>
      </c>
      <c r="B75" s="3" t="s">
        <v>145</v>
      </c>
      <c r="C75" s="11" t="s">
        <v>257</v>
      </c>
      <c r="D75" s="12">
        <v>53.11</v>
      </c>
      <c r="E75" s="1">
        <v>2</v>
      </c>
      <c r="F75" s="13">
        <f>InputData[[#This Row],[QUANTITY]]*InputData[[#This Row],[UNIT PRICE (R)]]</f>
        <v>106.22</v>
      </c>
      <c r="G75" s="1" t="str">
        <f>VLOOKUP(InputData[[#This Row],[CUSTOMER NAME]],Country[],2,0)</f>
        <v>India</v>
      </c>
      <c r="H75" s="1" t="str">
        <f>VLOOKUP(InputData[[#This Row],[CUSTOMER NAME]],Country[],3,0)</f>
        <v>Northeast</v>
      </c>
      <c r="I75" s="1" t="str">
        <f>TEXT(InputData[[#This Row],[DATE]],"mmmm")</f>
        <v>January</v>
      </c>
      <c r="J75" s="1" t="str">
        <f>TEXT(InputData[[#This Row],[DATE]],"ddd")</f>
        <v>Thu</v>
      </c>
      <c r="K75" s="14">
        <f>WEEKNUM(InputData[[#This Row],[DATE]])</f>
        <v>5</v>
      </c>
      <c r="N75"/>
      <c r="R75" s="3" t="s">
        <v>95</v>
      </c>
      <c r="S75" s="1" t="str">
        <f t="shared" si="2"/>
        <v>Cobalt Point Supplies</v>
      </c>
      <c r="V75"/>
      <c r="Z75" s="11" t="s">
        <v>16</v>
      </c>
      <c r="AA75" s="1" t="str">
        <f t="shared" si="3"/>
        <v>Blind Rivet 6mm</v>
      </c>
      <c r="AF75"/>
    </row>
    <row r="76" spans="1:32" x14ac:dyDescent="0.3">
      <c r="A76" s="10">
        <v>44224</v>
      </c>
      <c r="B76" s="3" t="s">
        <v>181</v>
      </c>
      <c r="C76" s="11" t="s">
        <v>232</v>
      </c>
      <c r="D76" s="12">
        <v>48.84</v>
      </c>
      <c r="E76" s="1">
        <v>10</v>
      </c>
      <c r="F76" s="13">
        <f>InputData[[#This Row],[QUANTITY]]*InputData[[#This Row],[UNIT PRICE (R)]]</f>
        <v>488.40000000000003</v>
      </c>
      <c r="G76" s="1" t="str">
        <f>VLOOKUP(InputData[[#This Row],[CUSTOMER NAME]],Country[],2,0)</f>
        <v>Germany</v>
      </c>
      <c r="H76" s="1" t="str">
        <f>VLOOKUP(InputData[[#This Row],[CUSTOMER NAME]],Country[],3,0)</f>
        <v>Export</v>
      </c>
      <c r="I76" s="1" t="str">
        <f>TEXT(InputData[[#This Row],[DATE]],"mmmm")</f>
        <v>January</v>
      </c>
      <c r="J76" s="1" t="str">
        <f>TEXT(InputData[[#This Row],[DATE]],"ddd")</f>
        <v>Thu</v>
      </c>
      <c r="K76" s="14">
        <f>WEEKNUM(InputData[[#This Row],[DATE]])</f>
        <v>5</v>
      </c>
      <c r="N76"/>
      <c r="R76" s="3" t="s">
        <v>50</v>
      </c>
      <c r="S76" s="1" t="str">
        <f t="shared" si="2"/>
        <v>Meridian Hardware Co.</v>
      </c>
      <c r="V76"/>
      <c r="Z76" s="11" t="s">
        <v>29</v>
      </c>
      <c r="AA76" s="1" t="str">
        <f t="shared" si="3"/>
        <v>Butt Hinge 100mm</v>
      </c>
      <c r="AF76"/>
    </row>
    <row r="77" spans="1:32" x14ac:dyDescent="0.3">
      <c r="A77" s="10">
        <v>44225</v>
      </c>
      <c r="B77" s="3" t="s">
        <v>175</v>
      </c>
      <c r="C77" s="11" t="s">
        <v>232</v>
      </c>
      <c r="D77" s="12">
        <v>48.84</v>
      </c>
      <c r="E77" s="1">
        <v>10</v>
      </c>
      <c r="F77" s="13">
        <f>InputData[[#This Row],[QUANTITY]]*InputData[[#This Row],[UNIT PRICE (R)]]</f>
        <v>488.40000000000003</v>
      </c>
      <c r="G77" s="1" t="str">
        <f>VLOOKUP(InputData[[#This Row],[CUSTOMER NAME]],Country[],2,0)</f>
        <v>India</v>
      </c>
      <c r="H77" s="1" t="str">
        <f>VLOOKUP(InputData[[#This Row],[CUSTOMER NAME]],Country[],3,0)</f>
        <v>Western</v>
      </c>
      <c r="I77" s="1" t="str">
        <f>TEXT(InputData[[#This Row],[DATE]],"mmmm")</f>
        <v>January</v>
      </c>
      <c r="J77" s="1" t="str">
        <f>TEXT(InputData[[#This Row],[DATE]],"ddd")</f>
        <v>Fri</v>
      </c>
      <c r="K77" s="14">
        <f>WEEKNUM(InputData[[#This Row],[DATE]])</f>
        <v>5</v>
      </c>
      <c r="N77"/>
      <c r="R77" s="3" t="s">
        <v>103</v>
      </c>
      <c r="S77" s="1" t="str">
        <f t="shared" si="2"/>
        <v>Vesterly Traders</v>
      </c>
      <c r="V77"/>
      <c r="Z77" s="11" t="s">
        <v>4</v>
      </c>
      <c r="AA77" s="1" t="str">
        <f t="shared" si="3"/>
        <v>Carriage Bolt M8</v>
      </c>
      <c r="AF77"/>
    </row>
    <row r="78" spans="1:32" x14ac:dyDescent="0.3">
      <c r="A78" s="10">
        <v>44225</v>
      </c>
      <c r="B78" s="3" t="s">
        <v>161</v>
      </c>
      <c r="C78" s="11" t="s">
        <v>252</v>
      </c>
      <c r="D78" s="12">
        <v>156.96</v>
      </c>
      <c r="E78" s="1">
        <v>25</v>
      </c>
      <c r="F78" s="13">
        <f>InputData[[#This Row],[QUANTITY]]*InputData[[#This Row],[UNIT PRICE (R)]]</f>
        <v>3924</v>
      </c>
      <c r="G78" s="1" t="str">
        <f>VLOOKUP(InputData[[#This Row],[CUSTOMER NAME]],Country[],2,0)</f>
        <v>India</v>
      </c>
      <c r="H78" s="1" t="str">
        <f>VLOOKUP(InputData[[#This Row],[CUSTOMER NAME]],Country[],3,0)</f>
        <v>Central</v>
      </c>
      <c r="I78" s="1" t="str">
        <f>TEXT(InputData[[#This Row],[DATE]],"mmmm")</f>
        <v>January</v>
      </c>
      <c r="J78" s="1" t="str">
        <f>TEXT(InputData[[#This Row],[DATE]],"ddd")</f>
        <v>Fri</v>
      </c>
      <c r="K78" s="14">
        <f>WEEKNUM(InputData[[#This Row],[DATE]])</f>
        <v>5</v>
      </c>
      <c r="N78"/>
      <c r="R78" s="3" t="s">
        <v>97</v>
      </c>
      <c r="S78" s="1" t="str">
        <f t="shared" si="2"/>
        <v>Stonebridge Commercial</v>
      </c>
      <c r="V78"/>
      <c r="Z78" s="11" t="s">
        <v>4</v>
      </c>
      <c r="AA78" s="1" t="str">
        <f t="shared" si="3"/>
        <v>Carriage Bolt M8</v>
      </c>
      <c r="AF78"/>
    </row>
    <row r="79" spans="1:32" x14ac:dyDescent="0.3">
      <c r="A79" s="10">
        <v>44225</v>
      </c>
      <c r="B79" s="3" t="s">
        <v>178</v>
      </c>
      <c r="C79" s="11" t="s">
        <v>242</v>
      </c>
      <c r="D79" s="12">
        <v>146.72</v>
      </c>
      <c r="E79" s="1">
        <v>21</v>
      </c>
      <c r="F79" s="13">
        <f>InputData[[#This Row],[QUANTITY]]*InputData[[#This Row],[UNIT PRICE (R)]]</f>
        <v>3081.12</v>
      </c>
      <c r="G79" s="1" t="str">
        <f>VLOOKUP(InputData[[#This Row],[CUSTOMER NAME]],Country[],2,0)</f>
        <v>Pakistan</v>
      </c>
      <c r="H79" s="1" t="str">
        <f>VLOOKUP(InputData[[#This Row],[CUSTOMER NAME]],Country[],3,0)</f>
        <v>Export</v>
      </c>
      <c r="I79" s="1" t="str">
        <f>TEXT(InputData[[#This Row],[DATE]],"mmmm")</f>
        <v>January</v>
      </c>
      <c r="J79" s="1" t="str">
        <f>TEXT(InputData[[#This Row],[DATE]],"ddd")</f>
        <v>Fri</v>
      </c>
      <c r="K79" s="14">
        <f>WEEKNUM(InputData[[#This Row],[DATE]])</f>
        <v>5</v>
      </c>
      <c r="N79"/>
      <c r="R79" s="3" t="s">
        <v>66</v>
      </c>
      <c r="S79" s="1" t="str">
        <f t="shared" si="2"/>
        <v>Whitfield Distributors</v>
      </c>
      <c r="V79"/>
      <c r="Z79" s="11" t="s">
        <v>24</v>
      </c>
      <c r="AA79" s="1" t="str">
        <f t="shared" si="3"/>
        <v>Eye Bolt M10</v>
      </c>
      <c r="AF79"/>
    </row>
    <row r="80" spans="1:32" x14ac:dyDescent="0.3">
      <c r="A80" s="10">
        <v>44226</v>
      </c>
      <c r="B80" s="3" t="s">
        <v>177</v>
      </c>
      <c r="C80" s="11" t="s">
        <v>271</v>
      </c>
      <c r="D80" s="12">
        <v>83.08</v>
      </c>
      <c r="E80" s="1">
        <v>2</v>
      </c>
      <c r="F80" s="13">
        <f>InputData[[#This Row],[QUANTITY]]*InputData[[#This Row],[UNIT PRICE (R)]]</f>
        <v>166.16</v>
      </c>
      <c r="G80" s="1" t="str">
        <f>VLOOKUP(InputData[[#This Row],[CUSTOMER NAME]],Country[],2,0)</f>
        <v>India</v>
      </c>
      <c r="H80" s="1" t="str">
        <f>VLOOKUP(InputData[[#This Row],[CUSTOMER NAME]],Country[],3,0)</f>
        <v>North</v>
      </c>
      <c r="I80" s="1" t="str">
        <f>TEXT(InputData[[#This Row],[DATE]],"mmmm")</f>
        <v>January</v>
      </c>
      <c r="J80" s="1" t="str">
        <f>TEXT(InputData[[#This Row],[DATE]],"ddd")</f>
        <v>Sat</v>
      </c>
      <c r="K80" s="14">
        <f>WEEKNUM(InputData[[#This Row],[DATE]])</f>
        <v>5</v>
      </c>
      <c r="N80"/>
      <c r="R80" s="3" t="s">
        <v>100</v>
      </c>
      <c r="S80" s="1" t="str">
        <f t="shared" si="2"/>
        <v>Pemberton &amp; Associates</v>
      </c>
      <c r="V80"/>
      <c r="Z80" s="11" t="s">
        <v>14</v>
      </c>
      <c r="AA80" s="1" t="str">
        <f t="shared" si="3"/>
        <v>Cap Screw M6</v>
      </c>
      <c r="AF80"/>
    </row>
    <row r="81" spans="1:32" x14ac:dyDescent="0.3">
      <c r="A81" s="10">
        <v>44226</v>
      </c>
      <c r="B81" s="3" t="s">
        <v>163</v>
      </c>
      <c r="C81" s="11" t="s">
        <v>255</v>
      </c>
      <c r="D81" s="12">
        <v>57.120000000000005</v>
      </c>
      <c r="E81" s="1">
        <v>2</v>
      </c>
      <c r="F81" s="13">
        <f>InputData[[#This Row],[QUANTITY]]*InputData[[#This Row],[UNIT PRICE (R)]]</f>
        <v>114.24000000000001</v>
      </c>
      <c r="G81" s="1" t="str">
        <f>VLOOKUP(InputData[[#This Row],[CUSTOMER NAME]],Country[],2,0)</f>
        <v>South Africa</v>
      </c>
      <c r="H81" s="1" t="str">
        <f>VLOOKUP(InputData[[#This Row],[CUSTOMER NAME]],Country[],3,0)</f>
        <v>Export</v>
      </c>
      <c r="I81" s="1" t="str">
        <f>TEXT(InputData[[#This Row],[DATE]],"mmmm")</f>
        <v>January</v>
      </c>
      <c r="J81" s="1" t="str">
        <f>TEXT(InputData[[#This Row],[DATE]],"ddd")</f>
        <v>Sat</v>
      </c>
      <c r="K81" s="14">
        <f>WEEKNUM(InputData[[#This Row],[DATE]])</f>
        <v>5</v>
      </c>
      <c r="N81"/>
      <c r="R81" s="3" t="s">
        <v>99</v>
      </c>
      <c r="S81" s="1" t="str">
        <f t="shared" si="2"/>
        <v>Northfield Traders</v>
      </c>
      <c r="V81"/>
      <c r="Z81" s="11" t="s">
        <v>43</v>
      </c>
      <c r="AA81" s="1" t="str">
        <f t="shared" si="3"/>
        <v>Copper Pipe Fitting 15mm</v>
      </c>
      <c r="AF81"/>
    </row>
    <row r="82" spans="1:32" x14ac:dyDescent="0.3">
      <c r="A82" s="10">
        <v>44227</v>
      </c>
      <c r="B82" s="3" t="s">
        <v>175</v>
      </c>
      <c r="C82" s="11" t="s">
        <v>255</v>
      </c>
      <c r="D82" s="12">
        <v>57.120000000000005</v>
      </c>
      <c r="E82" s="1">
        <v>20</v>
      </c>
      <c r="F82" s="13">
        <f>InputData[[#This Row],[QUANTITY]]*InputData[[#This Row],[UNIT PRICE (R)]]</f>
        <v>1142.4000000000001</v>
      </c>
      <c r="G82" s="1" t="str">
        <f>VLOOKUP(InputData[[#This Row],[CUSTOMER NAME]],Country[],2,0)</f>
        <v>India</v>
      </c>
      <c r="H82" s="1" t="str">
        <f>VLOOKUP(InputData[[#This Row],[CUSTOMER NAME]],Country[],3,0)</f>
        <v>Western</v>
      </c>
      <c r="I82" s="1" t="str">
        <f>TEXT(InputData[[#This Row],[DATE]],"mmmm")</f>
        <v>January</v>
      </c>
      <c r="J82" s="1" t="str">
        <f>TEXT(InputData[[#This Row],[DATE]],"ddd")</f>
        <v>Sun</v>
      </c>
      <c r="K82" s="14">
        <f>WEEKNUM(InputData[[#This Row],[DATE]])</f>
        <v>6</v>
      </c>
      <c r="N82"/>
      <c r="R82" s="3" t="s">
        <v>68</v>
      </c>
      <c r="S82" s="1" t="str">
        <f t="shared" si="2"/>
        <v>Delacroix Wholesale</v>
      </c>
      <c r="V82"/>
      <c r="Z82" s="11" t="s">
        <v>27</v>
      </c>
      <c r="AA82" s="1" t="str">
        <f t="shared" si="3"/>
        <v>Padlock Hasp 100mm</v>
      </c>
      <c r="AF82"/>
    </row>
    <row r="83" spans="1:32" x14ac:dyDescent="0.3">
      <c r="A83" s="10">
        <v>44227</v>
      </c>
      <c r="B83" s="3" t="s">
        <v>175</v>
      </c>
      <c r="C83" s="11" t="s">
        <v>256</v>
      </c>
      <c r="D83" s="12">
        <v>41.81</v>
      </c>
      <c r="E83" s="1">
        <v>3</v>
      </c>
      <c r="F83" s="13">
        <f>InputData[[#This Row],[QUANTITY]]*InputData[[#This Row],[UNIT PRICE (R)]]</f>
        <v>125.43</v>
      </c>
      <c r="G83" s="1" t="str">
        <f>VLOOKUP(InputData[[#This Row],[CUSTOMER NAME]],Country[],2,0)</f>
        <v>India</v>
      </c>
      <c r="H83" s="1" t="str">
        <f>VLOOKUP(InputData[[#This Row],[CUSTOMER NAME]],Country[],3,0)</f>
        <v>Western</v>
      </c>
      <c r="I83" s="1" t="str">
        <f>TEXT(InputData[[#This Row],[DATE]],"mmmm")</f>
        <v>January</v>
      </c>
      <c r="J83" s="1" t="str">
        <f>TEXT(InputData[[#This Row],[DATE]],"ddd")</f>
        <v>Sun</v>
      </c>
      <c r="K83" s="14">
        <f>WEEKNUM(InputData[[#This Row],[DATE]])</f>
        <v>6</v>
      </c>
      <c r="N83"/>
      <c r="R83" s="3" t="s">
        <v>97</v>
      </c>
      <c r="S83" s="1" t="str">
        <f t="shared" si="2"/>
        <v>Stonebridge Commercial</v>
      </c>
      <c r="V83"/>
      <c r="Z83" s="11" t="s">
        <v>27</v>
      </c>
      <c r="AA83" s="1" t="str">
        <f t="shared" si="3"/>
        <v>Padlock Hasp 100mm</v>
      </c>
      <c r="AF83"/>
    </row>
    <row r="84" spans="1:32" x14ac:dyDescent="0.3">
      <c r="A84" s="10">
        <v>44227</v>
      </c>
      <c r="B84" s="3" t="s">
        <v>164</v>
      </c>
      <c r="C84" s="11" t="s">
        <v>269</v>
      </c>
      <c r="D84" s="12">
        <v>173.88</v>
      </c>
      <c r="E84" s="1">
        <v>9</v>
      </c>
      <c r="F84" s="13">
        <f>InputData[[#This Row],[QUANTITY]]*InputData[[#This Row],[UNIT PRICE (R)]]</f>
        <v>1564.92</v>
      </c>
      <c r="G84" s="1" t="str">
        <f>VLOOKUP(InputData[[#This Row],[CUSTOMER NAME]],Country[],2,0)</f>
        <v>India</v>
      </c>
      <c r="H84" s="1" t="str">
        <f>VLOOKUP(InputData[[#This Row],[CUSTOMER NAME]],Country[],3,0)</f>
        <v>East</v>
      </c>
      <c r="I84" s="1" t="str">
        <f>TEXT(InputData[[#This Row],[DATE]],"mmmm")</f>
        <v>January</v>
      </c>
      <c r="J84" s="1" t="str">
        <f>TEXT(InputData[[#This Row],[DATE]],"ddd")</f>
        <v>Sun</v>
      </c>
      <c r="K84" s="14">
        <f>WEEKNUM(InputData[[#This Row],[DATE]])</f>
        <v>6</v>
      </c>
      <c r="N84"/>
      <c r="R84" s="3" t="s">
        <v>97</v>
      </c>
      <c r="S84" s="1" t="str">
        <f t="shared" si="2"/>
        <v>Stonebridge Commercial</v>
      </c>
      <c r="V84"/>
      <c r="Z84" s="11" t="s">
        <v>28</v>
      </c>
      <c r="AA84" s="1" t="str">
        <f t="shared" si="3"/>
        <v>Cabinet Hinge 75mm</v>
      </c>
      <c r="AF84"/>
    </row>
    <row r="85" spans="1:32" x14ac:dyDescent="0.3">
      <c r="A85" s="10">
        <v>44227</v>
      </c>
      <c r="B85" s="3" t="s">
        <v>181</v>
      </c>
      <c r="C85" s="11" t="s">
        <v>231</v>
      </c>
      <c r="D85" s="12">
        <v>80.94</v>
      </c>
      <c r="E85" s="1">
        <v>33</v>
      </c>
      <c r="F85" s="13">
        <f>InputData[[#This Row],[QUANTITY]]*InputData[[#This Row],[UNIT PRICE (R)]]</f>
        <v>2671.02</v>
      </c>
      <c r="G85" s="1" t="str">
        <f>VLOOKUP(InputData[[#This Row],[CUSTOMER NAME]],Country[],2,0)</f>
        <v>Germany</v>
      </c>
      <c r="H85" s="1" t="str">
        <f>VLOOKUP(InputData[[#This Row],[CUSTOMER NAME]],Country[],3,0)</f>
        <v>Export</v>
      </c>
      <c r="I85" s="1" t="str">
        <f>TEXT(InputData[[#This Row],[DATE]],"mmmm")</f>
        <v>January</v>
      </c>
      <c r="J85" s="1" t="str">
        <f>TEXT(InputData[[#This Row],[DATE]],"ddd")</f>
        <v>Sun</v>
      </c>
      <c r="K85" s="14">
        <f>WEEKNUM(InputData[[#This Row],[DATE]])</f>
        <v>6</v>
      </c>
      <c r="N85"/>
      <c r="R85" s="3" t="s">
        <v>69</v>
      </c>
      <c r="S85" s="1" t="str">
        <f t="shared" si="2"/>
        <v>Southcote Industries</v>
      </c>
      <c r="V85"/>
      <c r="Z85" s="11" t="s">
        <v>41</v>
      </c>
      <c r="AA85" s="1" t="str">
        <f t="shared" si="3"/>
        <v>PVC Elbow 20mm</v>
      </c>
      <c r="AF85"/>
    </row>
    <row r="86" spans="1:32" x14ac:dyDescent="0.3">
      <c r="A86" s="10">
        <v>44227</v>
      </c>
      <c r="B86" s="3" t="s">
        <v>172</v>
      </c>
      <c r="C86" s="11" t="s">
        <v>251</v>
      </c>
      <c r="D86" s="12">
        <v>149.46</v>
      </c>
      <c r="E86" s="1">
        <v>6</v>
      </c>
      <c r="F86" s="13">
        <f>InputData[[#This Row],[QUANTITY]]*InputData[[#This Row],[UNIT PRICE (R)]]</f>
        <v>896.76</v>
      </c>
      <c r="G86" s="1" t="str">
        <f>VLOOKUP(InputData[[#This Row],[CUSTOMER NAME]],Country[],2,0)</f>
        <v>Mexico</v>
      </c>
      <c r="H86" s="1" t="str">
        <f>VLOOKUP(InputData[[#This Row],[CUSTOMER NAME]],Country[],3,0)</f>
        <v>Export</v>
      </c>
      <c r="I86" s="1" t="str">
        <f>TEXT(InputData[[#This Row],[DATE]],"mmmm")</f>
        <v>January</v>
      </c>
      <c r="J86" s="1" t="str">
        <f>TEXT(InputData[[#This Row],[DATE]],"ddd")</f>
        <v>Sun</v>
      </c>
      <c r="K86" s="14">
        <f>WEEKNUM(InputData[[#This Row],[DATE]])</f>
        <v>6</v>
      </c>
      <c r="N86"/>
      <c r="R86" s="3" t="s">
        <v>103</v>
      </c>
      <c r="S86" s="1" t="str">
        <f t="shared" si="2"/>
        <v>Vesterly Traders</v>
      </c>
      <c r="V86"/>
      <c r="Z86" s="11" t="s">
        <v>3</v>
      </c>
      <c r="AA86" s="1" t="str">
        <f t="shared" si="3"/>
        <v>Hex Bolt M12</v>
      </c>
      <c r="AF86"/>
    </row>
    <row r="87" spans="1:32" x14ac:dyDescent="0.3">
      <c r="A87" s="10">
        <v>44228</v>
      </c>
      <c r="B87" s="3" t="s">
        <v>143</v>
      </c>
      <c r="C87" s="11" t="s">
        <v>233</v>
      </c>
      <c r="D87" s="12">
        <v>155.61000000000001</v>
      </c>
      <c r="E87" s="1">
        <v>9</v>
      </c>
      <c r="F87" s="13">
        <f>InputData[[#This Row],[QUANTITY]]*InputData[[#This Row],[UNIT PRICE (R)]]</f>
        <v>1400.4900000000002</v>
      </c>
      <c r="G87" s="1" t="str">
        <f>VLOOKUP(InputData[[#This Row],[CUSTOMER NAME]],Country[],2,0)</f>
        <v>Nigeria</v>
      </c>
      <c r="H87" s="1" t="str">
        <f>VLOOKUP(InputData[[#This Row],[CUSTOMER NAME]],Country[],3,0)</f>
        <v>Export</v>
      </c>
      <c r="I87" s="1" t="str">
        <f>TEXT(InputData[[#This Row],[DATE]],"mmmm")</f>
        <v>February</v>
      </c>
      <c r="J87" s="1" t="str">
        <f>TEXT(InputData[[#This Row],[DATE]],"ddd")</f>
        <v>Mon</v>
      </c>
      <c r="K87" s="14">
        <f>WEEKNUM(InputData[[#This Row],[DATE]])</f>
        <v>6</v>
      </c>
      <c r="N87"/>
      <c r="R87" s="3" t="s">
        <v>77</v>
      </c>
      <c r="S87" s="1" t="str">
        <f t="shared" si="2"/>
        <v>Fenwick Traders</v>
      </c>
      <c r="V87"/>
      <c r="Z87" s="11" t="s">
        <v>23</v>
      </c>
      <c r="AA87" s="1" t="str">
        <f t="shared" si="3"/>
        <v>U-Bolt M8</v>
      </c>
      <c r="AF87"/>
    </row>
    <row r="88" spans="1:32" x14ac:dyDescent="0.3">
      <c r="A88" s="10">
        <v>44229</v>
      </c>
      <c r="B88" s="3" t="s">
        <v>177</v>
      </c>
      <c r="C88" s="11" t="s">
        <v>238</v>
      </c>
      <c r="D88" s="12">
        <v>164.28</v>
      </c>
      <c r="E88" s="1">
        <v>7</v>
      </c>
      <c r="F88" s="13">
        <f>InputData[[#This Row],[QUANTITY]]*InputData[[#This Row],[UNIT PRICE (R)]]</f>
        <v>1149.96</v>
      </c>
      <c r="G88" s="1" t="str">
        <f>VLOOKUP(InputData[[#This Row],[CUSTOMER NAME]],Country[],2,0)</f>
        <v>India</v>
      </c>
      <c r="H88" s="1" t="str">
        <f>VLOOKUP(InputData[[#This Row],[CUSTOMER NAME]],Country[],3,0)</f>
        <v>North</v>
      </c>
      <c r="I88" s="1" t="str">
        <f>TEXT(InputData[[#This Row],[DATE]],"mmmm")</f>
        <v>February</v>
      </c>
      <c r="J88" s="1" t="str">
        <f>TEXT(InputData[[#This Row],[DATE]],"ddd")</f>
        <v>Tue</v>
      </c>
      <c r="K88" s="14">
        <f>WEEKNUM(InputData[[#This Row],[DATE]])</f>
        <v>6</v>
      </c>
      <c r="N88"/>
      <c r="R88" s="3" t="s">
        <v>48</v>
      </c>
      <c r="S88" s="1" t="str">
        <f t="shared" si="2"/>
        <v>Thornwell Trading</v>
      </c>
      <c r="V88"/>
      <c r="Z88" s="11" t="s">
        <v>5</v>
      </c>
      <c r="AA88" s="1" t="str">
        <f t="shared" si="3"/>
        <v>Wing Nut M6</v>
      </c>
      <c r="AF88"/>
    </row>
    <row r="89" spans="1:32" x14ac:dyDescent="0.3">
      <c r="A89" s="10">
        <v>44230</v>
      </c>
      <c r="B89" s="3" t="s">
        <v>173</v>
      </c>
      <c r="C89" s="11" t="s">
        <v>250</v>
      </c>
      <c r="D89" s="12">
        <v>141.57</v>
      </c>
      <c r="E89" s="1">
        <v>2</v>
      </c>
      <c r="F89" s="13">
        <f>InputData[[#This Row],[QUANTITY]]*InputData[[#This Row],[UNIT PRICE (R)]]</f>
        <v>283.14</v>
      </c>
      <c r="G89" s="1" t="str">
        <f>VLOOKUP(InputData[[#This Row],[CUSTOMER NAME]],Country[],2,0)</f>
        <v>India</v>
      </c>
      <c r="H89" s="1" t="str">
        <f>VLOOKUP(InputData[[#This Row],[CUSTOMER NAME]],Country[],3,0)</f>
        <v>North</v>
      </c>
      <c r="I89" s="1" t="str">
        <f>TEXT(InputData[[#This Row],[DATE]],"mmmm")</f>
        <v>February</v>
      </c>
      <c r="J89" s="1" t="str">
        <f>TEXT(InputData[[#This Row],[DATE]],"ddd")</f>
        <v>Wed</v>
      </c>
      <c r="K89" s="14">
        <f>WEEKNUM(InputData[[#This Row],[DATE]])</f>
        <v>6</v>
      </c>
      <c r="N89"/>
      <c r="R89" s="3" t="s">
        <v>99</v>
      </c>
      <c r="S89" s="1" t="str">
        <f t="shared" si="2"/>
        <v>Northfield Traders</v>
      </c>
      <c r="V89"/>
      <c r="Z89" s="11" t="s">
        <v>10</v>
      </c>
      <c r="AA89" s="1" t="str">
        <f t="shared" si="3"/>
        <v>Self-Tapping Screw 25mm</v>
      </c>
      <c r="AF89"/>
    </row>
    <row r="90" spans="1:32" x14ac:dyDescent="0.3">
      <c r="A90" s="10">
        <v>44230</v>
      </c>
      <c r="B90" s="3" t="s">
        <v>175</v>
      </c>
      <c r="C90" s="11" t="s">
        <v>247</v>
      </c>
      <c r="D90" s="12">
        <v>210</v>
      </c>
      <c r="E90" s="1">
        <v>39</v>
      </c>
      <c r="F90" s="13">
        <f>InputData[[#This Row],[QUANTITY]]*InputData[[#This Row],[UNIT PRICE (R)]]</f>
        <v>8190</v>
      </c>
      <c r="G90" s="1" t="str">
        <f>VLOOKUP(InputData[[#This Row],[CUSTOMER NAME]],Country[],2,0)</f>
        <v>India</v>
      </c>
      <c r="H90" s="1" t="str">
        <f>VLOOKUP(InputData[[#This Row],[CUSTOMER NAME]],Country[],3,0)</f>
        <v>Western</v>
      </c>
      <c r="I90" s="1" t="str">
        <f>TEXT(InputData[[#This Row],[DATE]],"mmmm")</f>
        <v>February</v>
      </c>
      <c r="J90" s="1" t="str">
        <f>TEXT(InputData[[#This Row],[DATE]],"ddd")</f>
        <v>Wed</v>
      </c>
      <c r="K90" s="14">
        <f>WEEKNUM(InputData[[#This Row],[DATE]])</f>
        <v>6</v>
      </c>
      <c r="N90"/>
      <c r="R90" s="3" t="s">
        <v>95</v>
      </c>
      <c r="S90" s="1" t="str">
        <f t="shared" si="2"/>
        <v>Cobalt Point Supplies</v>
      </c>
      <c r="V90"/>
      <c r="Z90" s="11" t="s">
        <v>22</v>
      </c>
      <c r="AA90" s="1" t="str">
        <f t="shared" si="3"/>
        <v>Hose Clamp 32mm</v>
      </c>
      <c r="AF90"/>
    </row>
    <row r="91" spans="1:32" x14ac:dyDescent="0.3">
      <c r="A91" s="10">
        <v>44230</v>
      </c>
      <c r="B91" s="3" t="s">
        <v>167</v>
      </c>
      <c r="C91" s="11" t="s">
        <v>266</v>
      </c>
      <c r="D91" s="12">
        <v>79.92</v>
      </c>
      <c r="E91" s="1">
        <v>27</v>
      </c>
      <c r="F91" s="13">
        <f>InputData[[#This Row],[QUANTITY]]*InputData[[#This Row],[UNIT PRICE (R)]]</f>
        <v>2157.84</v>
      </c>
      <c r="G91" s="1" t="str">
        <f>VLOOKUP(InputData[[#This Row],[CUSTOMER NAME]],Country[],2,0)</f>
        <v>Ethiopia</v>
      </c>
      <c r="H91" s="1" t="str">
        <f>VLOOKUP(InputData[[#This Row],[CUSTOMER NAME]],Country[],3,0)</f>
        <v>Export</v>
      </c>
      <c r="I91" s="1" t="str">
        <f>TEXT(InputData[[#This Row],[DATE]],"mmmm")</f>
        <v>February</v>
      </c>
      <c r="J91" s="1" t="str">
        <f>TEXT(InputData[[#This Row],[DATE]],"ddd")</f>
        <v>Wed</v>
      </c>
      <c r="K91" s="14">
        <f>WEEKNUM(InputData[[#This Row],[DATE]])</f>
        <v>6</v>
      </c>
      <c r="N91"/>
      <c r="R91" s="3" t="s">
        <v>97</v>
      </c>
      <c r="S91" s="1" t="str">
        <f t="shared" si="2"/>
        <v>Stonebridge Commercial</v>
      </c>
      <c r="V91"/>
      <c r="Z91" s="11" t="s">
        <v>19</v>
      </c>
      <c r="AA91" s="1" t="str">
        <f t="shared" si="3"/>
        <v>Anchor Bolt M10</v>
      </c>
      <c r="AF91"/>
    </row>
    <row r="92" spans="1:32" x14ac:dyDescent="0.3">
      <c r="A92" s="10">
        <v>44230</v>
      </c>
      <c r="B92" s="3" t="s">
        <v>169</v>
      </c>
      <c r="C92" s="11" t="s">
        <v>242</v>
      </c>
      <c r="D92" s="12">
        <v>146.72</v>
      </c>
      <c r="E92" s="1">
        <v>8</v>
      </c>
      <c r="F92" s="13">
        <f>InputData[[#This Row],[QUANTITY]]*InputData[[#This Row],[UNIT PRICE (R)]]</f>
        <v>1173.76</v>
      </c>
      <c r="G92" s="1" t="str">
        <f>VLOOKUP(InputData[[#This Row],[CUSTOMER NAME]],Country[],2,0)</f>
        <v>India</v>
      </c>
      <c r="H92" s="1" t="str">
        <f>VLOOKUP(InputData[[#This Row],[CUSTOMER NAME]],Country[],3,0)</f>
        <v>South</v>
      </c>
      <c r="I92" s="1" t="str">
        <f>TEXT(InputData[[#This Row],[DATE]],"mmmm")</f>
        <v>February</v>
      </c>
      <c r="J92" s="1" t="str">
        <f>TEXT(InputData[[#This Row],[DATE]],"ddd")</f>
        <v>Wed</v>
      </c>
      <c r="K92" s="14">
        <f>WEEKNUM(InputData[[#This Row],[DATE]])</f>
        <v>6</v>
      </c>
      <c r="N92"/>
      <c r="R92" s="3" t="s">
        <v>72</v>
      </c>
      <c r="S92" s="1" t="str">
        <f t="shared" si="2"/>
        <v>Hendricks Mercantile</v>
      </c>
      <c r="V92"/>
      <c r="Z92" s="11" t="s">
        <v>38</v>
      </c>
      <c r="AA92" s="1" t="str">
        <f t="shared" si="3"/>
        <v>Cable Tie 300mm</v>
      </c>
      <c r="AF92"/>
    </row>
    <row r="93" spans="1:32" x14ac:dyDescent="0.3">
      <c r="A93" s="10">
        <v>44230</v>
      </c>
      <c r="B93" s="3" t="s">
        <v>171</v>
      </c>
      <c r="C93" s="11" t="s">
        <v>244</v>
      </c>
      <c r="D93" s="12">
        <v>16.64</v>
      </c>
      <c r="E93" s="1">
        <v>13</v>
      </c>
      <c r="F93" s="13">
        <f>InputData[[#This Row],[QUANTITY]]*InputData[[#This Row],[UNIT PRICE (R)]]</f>
        <v>216.32</v>
      </c>
      <c r="G93" s="1" t="str">
        <f>VLOOKUP(InputData[[#This Row],[CUSTOMER NAME]],Country[],2,0)</f>
        <v>India</v>
      </c>
      <c r="H93" s="1" t="str">
        <f>VLOOKUP(InputData[[#This Row],[CUSTOMER NAME]],Country[],3,0)</f>
        <v>South</v>
      </c>
      <c r="I93" s="1" t="str">
        <f>TEXT(InputData[[#This Row],[DATE]],"mmmm")</f>
        <v>February</v>
      </c>
      <c r="J93" s="1" t="str">
        <f>TEXT(InputData[[#This Row],[DATE]],"ddd")</f>
        <v>Wed</v>
      </c>
      <c r="K93" s="14">
        <f>WEEKNUM(InputData[[#This Row],[DATE]])</f>
        <v>6</v>
      </c>
      <c r="N93"/>
      <c r="R93" s="3" t="s">
        <v>74</v>
      </c>
      <c r="S93" s="1" t="str">
        <f t="shared" si="2"/>
        <v>Millbrook Distribution</v>
      </c>
      <c r="V93"/>
      <c r="Z93" s="11" t="s">
        <v>14</v>
      </c>
      <c r="AA93" s="1" t="str">
        <f t="shared" si="3"/>
        <v>Cap Screw M6</v>
      </c>
      <c r="AF93"/>
    </row>
    <row r="94" spans="1:32" x14ac:dyDescent="0.3">
      <c r="A94" s="10">
        <v>44231</v>
      </c>
      <c r="B94" s="3" t="s">
        <v>178</v>
      </c>
      <c r="C94" s="11" t="s">
        <v>272</v>
      </c>
      <c r="D94" s="12">
        <v>82.08</v>
      </c>
      <c r="E94" s="1">
        <v>39</v>
      </c>
      <c r="F94" s="13">
        <f>InputData[[#This Row],[QUANTITY]]*InputData[[#This Row],[UNIT PRICE (R)]]</f>
        <v>3201.12</v>
      </c>
      <c r="G94" s="1" t="str">
        <f>VLOOKUP(InputData[[#This Row],[CUSTOMER NAME]],Country[],2,0)</f>
        <v>Pakistan</v>
      </c>
      <c r="H94" s="1" t="str">
        <f>VLOOKUP(InputData[[#This Row],[CUSTOMER NAME]],Country[],3,0)</f>
        <v>Export</v>
      </c>
      <c r="I94" s="1" t="str">
        <f>TEXT(InputData[[#This Row],[DATE]],"mmmm")</f>
        <v>February</v>
      </c>
      <c r="J94" s="1" t="str">
        <f>TEXT(InputData[[#This Row],[DATE]],"ddd")</f>
        <v>Thu</v>
      </c>
      <c r="K94" s="14">
        <f>WEEKNUM(InputData[[#This Row],[DATE]])</f>
        <v>6</v>
      </c>
      <c r="N94"/>
      <c r="R94" s="3" t="s">
        <v>76</v>
      </c>
      <c r="S94" s="1" t="str">
        <f t="shared" si="2"/>
        <v>Overton Retail Solutions</v>
      </c>
      <c r="V94"/>
      <c r="Z94" s="11" t="s">
        <v>16</v>
      </c>
      <c r="AA94" s="1" t="str">
        <f t="shared" si="3"/>
        <v>Blind Rivet 6mm</v>
      </c>
      <c r="AF94"/>
    </row>
    <row r="95" spans="1:32" x14ac:dyDescent="0.3">
      <c r="A95" s="10">
        <v>44231</v>
      </c>
      <c r="B95" s="3" t="s">
        <v>167</v>
      </c>
      <c r="C95" s="11" t="s">
        <v>265</v>
      </c>
      <c r="D95" s="12">
        <v>85.76</v>
      </c>
      <c r="E95" s="1">
        <v>4</v>
      </c>
      <c r="F95" s="13">
        <f>InputData[[#This Row],[QUANTITY]]*InputData[[#This Row],[UNIT PRICE (R)]]</f>
        <v>343.04</v>
      </c>
      <c r="G95" s="1" t="str">
        <f>VLOOKUP(InputData[[#This Row],[CUSTOMER NAME]],Country[],2,0)</f>
        <v>Ethiopia</v>
      </c>
      <c r="H95" s="1" t="str">
        <f>VLOOKUP(InputData[[#This Row],[CUSTOMER NAME]],Country[],3,0)</f>
        <v>Export</v>
      </c>
      <c r="I95" s="1" t="str">
        <f>TEXT(InputData[[#This Row],[DATE]],"mmmm")</f>
        <v>February</v>
      </c>
      <c r="J95" s="1" t="str">
        <f>TEXT(InputData[[#This Row],[DATE]],"ddd")</f>
        <v>Thu</v>
      </c>
      <c r="K95" s="14">
        <f>WEEKNUM(InputData[[#This Row],[DATE]])</f>
        <v>6</v>
      </c>
      <c r="N95"/>
      <c r="R95" s="3" t="s">
        <v>100</v>
      </c>
      <c r="S95" s="1" t="str">
        <f t="shared" si="2"/>
        <v>Pemberton &amp; Associates</v>
      </c>
      <c r="V95"/>
      <c r="Z95" s="11" t="s">
        <v>44</v>
      </c>
      <c r="AA95" s="1" t="str">
        <f t="shared" si="3"/>
        <v>Brass Elbow Joint 20mm</v>
      </c>
      <c r="AF95"/>
    </row>
    <row r="96" spans="1:32" x14ac:dyDescent="0.3">
      <c r="A96" s="10">
        <v>44231</v>
      </c>
      <c r="B96" s="3" t="s">
        <v>168</v>
      </c>
      <c r="C96" s="11" t="s">
        <v>242</v>
      </c>
      <c r="D96" s="12">
        <v>146.72</v>
      </c>
      <c r="E96" s="1">
        <v>26</v>
      </c>
      <c r="F96" s="13">
        <f>InputData[[#This Row],[QUANTITY]]*InputData[[#This Row],[UNIT PRICE (R)]]</f>
        <v>3814.72</v>
      </c>
      <c r="G96" s="1" t="str">
        <f>VLOOKUP(InputData[[#This Row],[CUSTOMER NAME]],Country[],2,0)</f>
        <v>India</v>
      </c>
      <c r="H96" s="1" t="str">
        <f>VLOOKUP(InputData[[#This Row],[CUSTOMER NAME]],Country[],3,0)</f>
        <v>Northeast</v>
      </c>
      <c r="I96" s="1" t="str">
        <f>TEXT(InputData[[#This Row],[DATE]],"mmmm")</f>
        <v>February</v>
      </c>
      <c r="J96" s="1" t="str">
        <f>TEXT(InputData[[#This Row],[DATE]],"ddd")</f>
        <v>Thu</v>
      </c>
      <c r="K96" s="14">
        <f>WEEKNUM(InputData[[#This Row],[DATE]])</f>
        <v>6</v>
      </c>
      <c r="N96"/>
      <c r="R96" s="3" t="s">
        <v>72</v>
      </c>
      <c r="S96" s="1" t="str">
        <f t="shared" si="2"/>
        <v>Hendricks Mercantile</v>
      </c>
      <c r="V96"/>
      <c r="Z96" s="11" t="s">
        <v>37</v>
      </c>
      <c r="AA96" s="1" t="str">
        <f t="shared" si="3"/>
        <v>Turnbuckle Hook M6</v>
      </c>
      <c r="AF96"/>
    </row>
    <row r="97" spans="1:32" x14ac:dyDescent="0.3">
      <c r="A97" s="10">
        <v>44231</v>
      </c>
      <c r="B97" s="3" t="s">
        <v>169</v>
      </c>
      <c r="C97" s="11" t="s">
        <v>253</v>
      </c>
      <c r="D97" s="12">
        <v>8.33</v>
      </c>
      <c r="E97" s="1">
        <v>3</v>
      </c>
      <c r="F97" s="13">
        <f>InputData[[#This Row],[QUANTITY]]*InputData[[#This Row],[UNIT PRICE (R)]]</f>
        <v>24.990000000000002</v>
      </c>
      <c r="G97" s="1" t="str">
        <f>VLOOKUP(InputData[[#This Row],[CUSTOMER NAME]],Country[],2,0)</f>
        <v>India</v>
      </c>
      <c r="H97" s="1" t="str">
        <f>VLOOKUP(InputData[[#This Row],[CUSTOMER NAME]],Country[],3,0)</f>
        <v>South</v>
      </c>
      <c r="I97" s="1" t="str">
        <f>TEXT(InputData[[#This Row],[DATE]],"mmmm")</f>
        <v>February</v>
      </c>
      <c r="J97" s="1" t="str">
        <f>TEXT(InputData[[#This Row],[DATE]],"ddd")</f>
        <v>Thu</v>
      </c>
      <c r="K97" s="14">
        <f>WEEKNUM(InputData[[#This Row],[DATE]])</f>
        <v>6</v>
      </c>
      <c r="N97"/>
      <c r="R97" s="3" t="s">
        <v>73</v>
      </c>
      <c r="S97" s="1" t="str">
        <f t="shared" si="2"/>
        <v>Ashworth Trading Group</v>
      </c>
      <c r="V97"/>
      <c r="Z97" s="11" t="s">
        <v>14</v>
      </c>
      <c r="AA97" s="1" t="str">
        <f t="shared" si="3"/>
        <v>Cap Screw M6</v>
      </c>
      <c r="AF97"/>
    </row>
    <row r="98" spans="1:32" x14ac:dyDescent="0.3">
      <c r="A98" s="10">
        <v>44232</v>
      </c>
      <c r="B98" s="3" t="s">
        <v>143</v>
      </c>
      <c r="C98" s="11" t="s">
        <v>231</v>
      </c>
      <c r="D98" s="12">
        <v>80.94</v>
      </c>
      <c r="E98" s="1">
        <v>24</v>
      </c>
      <c r="F98" s="13">
        <f>InputData[[#This Row],[QUANTITY]]*InputData[[#This Row],[UNIT PRICE (R)]]</f>
        <v>1942.56</v>
      </c>
      <c r="G98" s="1" t="str">
        <f>VLOOKUP(InputData[[#This Row],[CUSTOMER NAME]],Country[],2,0)</f>
        <v>Nigeria</v>
      </c>
      <c r="H98" s="1" t="str">
        <f>VLOOKUP(InputData[[#This Row],[CUSTOMER NAME]],Country[],3,0)</f>
        <v>Export</v>
      </c>
      <c r="I98" s="1" t="str">
        <f>TEXT(InputData[[#This Row],[DATE]],"mmmm")</f>
        <v>February</v>
      </c>
      <c r="J98" s="1" t="str">
        <f>TEXT(InputData[[#This Row],[DATE]],"ddd")</f>
        <v>Fri</v>
      </c>
      <c r="K98" s="14">
        <f>WEEKNUM(InputData[[#This Row],[DATE]])</f>
        <v>6</v>
      </c>
      <c r="N98"/>
      <c r="R98" s="3" t="s">
        <v>74</v>
      </c>
      <c r="S98" s="1" t="str">
        <f t="shared" si="2"/>
        <v>Millbrook Distribution</v>
      </c>
      <c r="V98"/>
      <c r="Z98" s="11" t="s">
        <v>25</v>
      </c>
      <c r="AA98" s="1" t="str">
        <f t="shared" si="3"/>
        <v>Turnbuckle M8</v>
      </c>
      <c r="AF98"/>
    </row>
    <row r="99" spans="1:32" x14ac:dyDescent="0.3">
      <c r="A99" s="10">
        <v>44232</v>
      </c>
      <c r="B99" s="3" t="s">
        <v>174</v>
      </c>
      <c r="C99" s="11" t="s">
        <v>267</v>
      </c>
      <c r="D99" s="12">
        <v>42.55</v>
      </c>
      <c r="E99" s="1">
        <v>38</v>
      </c>
      <c r="F99" s="13">
        <f>InputData[[#This Row],[QUANTITY]]*InputData[[#This Row],[UNIT PRICE (R)]]</f>
        <v>1616.8999999999999</v>
      </c>
      <c r="G99" s="1" t="str">
        <f>VLOOKUP(InputData[[#This Row],[CUSTOMER NAME]],Country[],2,0)</f>
        <v>Pakistan</v>
      </c>
      <c r="H99" s="1" t="str">
        <f>VLOOKUP(InputData[[#This Row],[CUSTOMER NAME]],Country[],3,0)</f>
        <v>Export</v>
      </c>
      <c r="I99" s="1" t="str">
        <f>TEXT(InputData[[#This Row],[DATE]],"mmmm")</f>
        <v>February</v>
      </c>
      <c r="J99" s="1" t="str">
        <f>TEXT(InputData[[#This Row],[DATE]],"ddd")</f>
        <v>Fri</v>
      </c>
      <c r="K99" s="14">
        <f>WEEKNUM(InputData[[#This Row],[DATE]])</f>
        <v>6</v>
      </c>
      <c r="N99"/>
      <c r="R99" s="3" t="s">
        <v>48</v>
      </c>
      <c r="S99" s="1" t="str">
        <f t="shared" si="2"/>
        <v>Thornwell Trading</v>
      </c>
      <c r="V99"/>
      <c r="Z99" s="11" t="s">
        <v>3</v>
      </c>
      <c r="AA99" s="1" t="str">
        <f t="shared" si="3"/>
        <v>Hex Bolt M12</v>
      </c>
      <c r="AF99"/>
    </row>
    <row r="100" spans="1:32" x14ac:dyDescent="0.3">
      <c r="A100" s="10">
        <v>44232</v>
      </c>
      <c r="B100" s="3" t="s">
        <v>153</v>
      </c>
      <c r="C100" s="11" t="s">
        <v>233</v>
      </c>
      <c r="D100" s="12">
        <v>155.61000000000001</v>
      </c>
      <c r="E100" s="1">
        <v>1</v>
      </c>
      <c r="F100" s="13">
        <f>InputData[[#This Row],[QUANTITY]]*InputData[[#This Row],[UNIT PRICE (R)]]</f>
        <v>155.61000000000001</v>
      </c>
      <c r="G100" s="1" t="str">
        <f>VLOOKUP(InputData[[#This Row],[CUSTOMER NAME]],Country[],2,0)</f>
        <v>Mexico</v>
      </c>
      <c r="H100" s="1" t="str">
        <f>VLOOKUP(InputData[[#This Row],[CUSTOMER NAME]],Country[],3,0)</f>
        <v>Export</v>
      </c>
      <c r="I100" s="1" t="str">
        <f>TEXT(InputData[[#This Row],[DATE]],"mmmm")</f>
        <v>February</v>
      </c>
      <c r="J100" s="1" t="str">
        <f>TEXT(InputData[[#This Row],[DATE]],"ddd")</f>
        <v>Fri</v>
      </c>
      <c r="K100" s="14">
        <f>WEEKNUM(InputData[[#This Row],[DATE]])</f>
        <v>6</v>
      </c>
      <c r="N100"/>
      <c r="R100" s="3" t="s">
        <v>96</v>
      </c>
      <c r="S100" s="1" t="str">
        <f t="shared" si="2"/>
        <v>Draycott Wholesalers</v>
      </c>
      <c r="V100"/>
      <c r="Z100" s="11" t="s">
        <v>39</v>
      </c>
      <c r="AA100" s="1" t="str">
        <f t="shared" si="3"/>
        <v>Cable Clip 20mm</v>
      </c>
      <c r="AF100"/>
    </row>
    <row r="101" spans="1:32" x14ac:dyDescent="0.3">
      <c r="A101" s="10">
        <v>44232</v>
      </c>
      <c r="B101" s="3" t="s">
        <v>158</v>
      </c>
      <c r="C101" s="11" t="s">
        <v>271</v>
      </c>
      <c r="D101" s="12">
        <v>83.08</v>
      </c>
      <c r="E101" s="1">
        <v>7</v>
      </c>
      <c r="F101" s="13">
        <f>InputData[[#This Row],[QUANTITY]]*InputData[[#This Row],[UNIT PRICE (R)]]</f>
        <v>581.55999999999995</v>
      </c>
      <c r="G101" s="1" t="str">
        <f>VLOOKUP(InputData[[#This Row],[CUSTOMER NAME]],Country[],2,0)</f>
        <v>Russia</v>
      </c>
      <c r="H101" s="1" t="str">
        <f>VLOOKUP(InputData[[#This Row],[CUSTOMER NAME]],Country[],3,0)</f>
        <v>Export</v>
      </c>
      <c r="I101" s="1" t="str">
        <f>TEXT(InputData[[#This Row],[DATE]],"mmmm")</f>
        <v>February</v>
      </c>
      <c r="J101" s="1" t="str">
        <f>TEXT(InputData[[#This Row],[DATE]],"ddd")</f>
        <v>Fri</v>
      </c>
      <c r="K101" s="14">
        <f>WEEKNUM(InputData[[#This Row],[DATE]])</f>
        <v>6</v>
      </c>
      <c r="N101"/>
      <c r="R101" s="3" t="s">
        <v>58</v>
      </c>
      <c r="S101" s="1" t="str">
        <f t="shared" si="2"/>
        <v>Redwood Mercantile</v>
      </c>
      <c r="V101"/>
      <c r="Z101" s="11" t="s">
        <v>5</v>
      </c>
      <c r="AA101" s="1" t="str">
        <f t="shared" si="3"/>
        <v>Wing Nut M6</v>
      </c>
      <c r="AF101"/>
    </row>
    <row r="102" spans="1:32" x14ac:dyDescent="0.3">
      <c r="A102" s="10">
        <v>44232</v>
      </c>
      <c r="B102" s="3" t="s">
        <v>162</v>
      </c>
      <c r="C102" s="11" t="s">
        <v>271</v>
      </c>
      <c r="D102" s="12">
        <v>83.08</v>
      </c>
      <c r="E102" s="1">
        <v>9</v>
      </c>
      <c r="F102" s="13">
        <f>InputData[[#This Row],[QUANTITY]]*InputData[[#This Row],[UNIT PRICE (R)]]</f>
        <v>747.72</v>
      </c>
      <c r="G102" s="1" t="str">
        <f>VLOOKUP(InputData[[#This Row],[CUSTOMER NAME]],Country[],2,0)</f>
        <v>United Kingdom</v>
      </c>
      <c r="H102" s="1" t="str">
        <f>VLOOKUP(InputData[[#This Row],[CUSTOMER NAME]],Country[],3,0)</f>
        <v>Export</v>
      </c>
      <c r="I102" s="1" t="str">
        <f>TEXT(InputData[[#This Row],[DATE]],"mmmm")</f>
        <v>February</v>
      </c>
      <c r="J102" s="1" t="str">
        <f>TEXT(InputData[[#This Row],[DATE]],"ddd")</f>
        <v>Fri</v>
      </c>
      <c r="K102" s="14">
        <f>WEEKNUM(InputData[[#This Row],[DATE]])</f>
        <v>6</v>
      </c>
      <c r="N102"/>
      <c r="R102" s="3" t="s">
        <v>63</v>
      </c>
      <c r="S102" s="1" t="str">
        <f t="shared" si="2"/>
        <v>Ovenden &amp; Sons</v>
      </c>
      <c r="V102"/>
      <c r="Z102" s="11" t="s">
        <v>43</v>
      </c>
      <c r="AA102" s="1" t="str">
        <f t="shared" si="3"/>
        <v>Copper Pipe Fitting 15mm</v>
      </c>
      <c r="AF102"/>
    </row>
    <row r="103" spans="1:32" x14ac:dyDescent="0.3">
      <c r="A103" s="10">
        <v>44232</v>
      </c>
      <c r="B103" s="3" t="s">
        <v>172</v>
      </c>
      <c r="C103" s="11" t="s">
        <v>246</v>
      </c>
      <c r="D103" s="12">
        <v>49.21</v>
      </c>
      <c r="E103" s="1">
        <v>6</v>
      </c>
      <c r="F103" s="13">
        <f>InputData[[#This Row],[QUANTITY]]*InputData[[#This Row],[UNIT PRICE (R)]]</f>
        <v>295.26</v>
      </c>
      <c r="G103" s="1" t="str">
        <f>VLOOKUP(InputData[[#This Row],[CUSTOMER NAME]],Country[],2,0)</f>
        <v>Mexico</v>
      </c>
      <c r="H103" s="1" t="str">
        <f>VLOOKUP(InputData[[#This Row],[CUSTOMER NAME]],Country[],3,0)</f>
        <v>Export</v>
      </c>
      <c r="I103" s="1" t="str">
        <f>TEXT(InputData[[#This Row],[DATE]],"mmmm")</f>
        <v>February</v>
      </c>
      <c r="J103" s="1" t="str">
        <f>TEXT(InputData[[#This Row],[DATE]],"ddd")</f>
        <v>Fri</v>
      </c>
      <c r="K103" s="14">
        <f>WEEKNUM(InputData[[#This Row],[DATE]])</f>
        <v>6</v>
      </c>
      <c r="N103"/>
      <c r="R103" s="3" t="s">
        <v>67</v>
      </c>
      <c r="S103" s="1" t="str">
        <f t="shared" si="2"/>
        <v>Ironbridge Trading Co.</v>
      </c>
      <c r="V103"/>
      <c r="Z103" s="11" t="s">
        <v>43</v>
      </c>
      <c r="AA103" s="1" t="str">
        <f t="shared" si="3"/>
        <v>Copper Pipe Fitting 15mm</v>
      </c>
      <c r="AF103"/>
    </row>
    <row r="104" spans="1:32" x14ac:dyDescent="0.3">
      <c r="A104" s="10">
        <v>44233</v>
      </c>
      <c r="B104" s="3" t="s">
        <v>173</v>
      </c>
      <c r="C104" s="11" t="s">
        <v>237</v>
      </c>
      <c r="D104" s="12">
        <v>7.8599999999999994</v>
      </c>
      <c r="E104" s="1">
        <v>30</v>
      </c>
      <c r="F104" s="13">
        <f>InputData[[#This Row],[QUANTITY]]*InputData[[#This Row],[UNIT PRICE (R)]]</f>
        <v>235.79999999999998</v>
      </c>
      <c r="G104" s="1" t="str">
        <f>VLOOKUP(InputData[[#This Row],[CUSTOMER NAME]],Country[],2,0)</f>
        <v>India</v>
      </c>
      <c r="H104" s="1" t="str">
        <f>VLOOKUP(InputData[[#This Row],[CUSTOMER NAME]],Country[],3,0)</f>
        <v>North</v>
      </c>
      <c r="I104" s="1" t="str">
        <f>TEXT(InputData[[#This Row],[DATE]],"mmmm")</f>
        <v>February</v>
      </c>
      <c r="J104" s="1" t="str">
        <f>TEXT(InputData[[#This Row],[DATE]],"ddd")</f>
        <v>Sat</v>
      </c>
      <c r="K104" s="14">
        <f>WEEKNUM(InputData[[#This Row],[DATE]])</f>
        <v>6</v>
      </c>
      <c r="N104"/>
      <c r="R104" s="3" t="s">
        <v>77</v>
      </c>
      <c r="S104" s="1" t="str">
        <f t="shared" si="2"/>
        <v>Fenwick Traders</v>
      </c>
      <c r="V104"/>
      <c r="Z104" s="11" t="s">
        <v>18</v>
      </c>
      <c r="AA104" s="1" t="str">
        <f t="shared" si="3"/>
        <v>Split Pin 5mm</v>
      </c>
      <c r="AF104"/>
    </row>
    <row r="105" spans="1:32" x14ac:dyDescent="0.3">
      <c r="A105" s="10">
        <v>44233</v>
      </c>
      <c r="B105" s="3" t="s">
        <v>164</v>
      </c>
      <c r="C105" s="11" t="s">
        <v>230</v>
      </c>
      <c r="D105" s="12">
        <v>142.80000000000001</v>
      </c>
      <c r="E105" s="1">
        <v>6</v>
      </c>
      <c r="F105" s="13">
        <f>InputData[[#This Row],[QUANTITY]]*InputData[[#This Row],[UNIT PRICE (R)]]</f>
        <v>856.80000000000007</v>
      </c>
      <c r="G105" s="1" t="str">
        <f>VLOOKUP(InputData[[#This Row],[CUSTOMER NAME]],Country[],2,0)</f>
        <v>India</v>
      </c>
      <c r="H105" s="1" t="str">
        <f>VLOOKUP(InputData[[#This Row],[CUSTOMER NAME]],Country[],3,0)</f>
        <v>East</v>
      </c>
      <c r="I105" s="1" t="str">
        <f>TEXT(InputData[[#This Row],[DATE]],"mmmm")</f>
        <v>February</v>
      </c>
      <c r="J105" s="1" t="str">
        <f>TEXT(InputData[[#This Row],[DATE]],"ddd")</f>
        <v>Sat</v>
      </c>
      <c r="K105" s="14">
        <f>WEEKNUM(InputData[[#This Row],[DATE]])</f>
        <v>6</v>
      </c>
      <c r="N105"/>
      <c r="R105" s="3" t="s">
        <v>95</v>
      </c>
      <c r="S105" s="1" t="str">
        <f t="shared" si="2"/>
        <v>Cobalt Point Supplies</v>
      </c>
      <c r="V105"/>
      <c r="Z105" s="11" t="s">
        <v>9</v>
      </c>
      <c r="AA105" s="1" t="str">
        <f t="shared" si="3"/>
        <v>Threaded Rod M12</v>
      </c>
      <c r="AF105"/>
    </row>
    <row r="106" spans="1:32" x14ac:dyDescent="0.3">
      <c r="A106" s="10">
        <v>44233</v>
      </c>
      <c r="B106" s="3" t="s">
        <v>171</v>
      </c>
      <c r="C106" s="11" t="s">
        <v>263</v>
      </c>
      <c r="D106" s="12">
        <v>6.7</v>
      </c>
      <c r="E106" s="1">
        <v>1</v>
      </c>
      <c r="F106" s="13">
        <f>InputData[[#This Row],[QUANTITY]]*InputData[[#This Row],[UNIT PRICE (R)]]</f>
        <v>6.7</v>
      </c>
      <c r="G106" s="1" t="str">
        <f>VLOOKUP(InputData[[#This Row],[CUSTOMER NAME]],Country[],2,0)</f>
        <v>India</v>
      </c>
      <c r="H106" s="1" t="str">
        <f>VLOOKUP(InputData[[#This Row],[CUSTOMER NAME]],Country[],3,0)</f>
        <v>South</v>
      </c>
      <c r="I106" s="1" t="str">
        <f>TEXT(InputData[[#This Row],[DATE]],"mmmm")</f>
        <v>February</v>
      </c>
      <c r="J106" s="1" t="str">
        <f>TEXT(InputData[[#This Row],[DATE]],"ddd")</f>
        <v>Sat</v>
      </c>
      <c r="K106" s="14">
        <f>WEEKNUM(InputData[[#This Row],[DATE]])</f>
        <v>6</v>
      </c>
      <c r="N106"/>
      <c r="R106" s="3" t="s">
        <v>69</v>
      </c>
      <c r="S106" s="1" t="str">
        <f t="shared" si="2"/>
        <v>Southcote Industries</v>
      </c>
      <c r="V106"/>
      <c r="Z106" s="11" t="s">
        <v>2</v>
      </c>
      <c r="AA106" s="1" t="str">
        <f t="shared" si="3"/>
        <v>Hex Bolt M10</v>
      </c>
      <c r="AF106"/>
    </row>
    <row r="107" spans="1:32" x14ac:dyDescent="0.3">
      <c r="A107" s="10">
        <v>44234</v>
      </c>
      <c r="B107" s="3" t="s">
        <v>150</v>
      </c>
      <c r="C107" s="11" t="s">
        <v>263</v>
      </c>
      <c r="D107" s="12">
        <v>6.7</v>
      </c>
      <c r="E107" s="1">
        <v>29</v>
      </c>
      <c r="F107" s="13">
        <f>InputData[[#This Row],[QUANTITY]]*InputData[[#This Row],[UNIT PRICE (R)]]</f>
        <v>194.3</v>
      </c>
      <c r="G107" s="1" t="str">
        <f>VLOOKUP(InputData[[#This Row],[CUSTOMER NAME]],Country[],2,0)</f>
        <v>United Kingdom</v>
      </c>
      <c r="H107" s="1" t="str">
        <f>VLOOKUP(InputData[[#This Row],[CUSTOMER NAME]],Country[],3,0)</f>
        <v>Export</v>
      </c>
      <c r="I107" s="1" t="str">
        <f>TEXT(InputData[[#This Row],[DATE]],"mmmm")</f>
        <v>February</v>
      </c>
      <c r="J107" s="1" t="str">
        <f>TEXT(InputData[[#This Row],[DATE]],"ddd")</f>
        <v>Sun</v>
      </c>
      <c r="K107" s="14">
        <f>WEEKNUM(InputData[[#This Row],[DATE]])</f>
        <v>7</v>
      </c>
      <c r="N107"/>
      <c r="R107" s="3" t="s">
        <v>76</v>
      </c>
      <c r="S107" s="1" t="str">
        <f t="shared" si="2"/>
        <v>Overton Retail Solutions</v>
      </c>
      <c r="V107"/>
      <c r="Z107" s="11" t="s">
        <v>35</v>
      </c>
      <c r="AA107" s="1" t="str">
        <f t="shared" si="3"/>
        <v>T-Bracket 100mm</v>
      </c>
      <c r="AF107"/>
    </row>
    <row r="108" spans="1:32" x14ac:dyDescent="0.3">
      <c r="A108" s="10">
        <v>44234</v>
      </c>
      <c r="B108" s="3" t="s">
        <v>167</v>
      </c>
      <c r="C108" s="11" t="s">
        <v>244</v>
      </c>
      <c r="D108" s="12">
        <v>16.64</v>
      </c>
      <c r="E108" s="1">
        <v>5</v>
      </c>
      <c r="F108" s="13">
        <f>InputData[[#This Row],[QUANTITY]]*InputData[[#This Row],[UNIT PRICE (R)]]</f>
        <v>83.2</v>
      </c>
      <c r="G108" s="1" t="str">
        <f>VLOOKUP(InputData[[#This Row],[CUSTOMER NAME]],Country[],2,0)</f>
        <v>Ethiopia</v>
      </c>
      <c r="H108" s="1" t="str">
        <f>VLOOKUP(InputData[[#This Row],[CUSTOMER NAME]],Country[],3,0)</f>
        <v>Export</v>
      </c>
      <c r="I108" s="1" t="str">
        <f>TEXT(InputData[[#This Row],[DATE]],"mmmm")</f>
        <v>February</v>
      </c>
      <c r="J108" s="1" t="str">
        <f>TEXT(InputData[[#This Row],[DATE]],"ddd")</f>
        <v>Sun</v>
      </c>
      <c r="K108" s="14">
        <f>WEEKNUM(InputData[[#This Row],[DATE]])</f>
        <v>7</v>
      </c>
      <c r="N108"/>
      <c r="R108" s="3" t="s">
        <v>55</v>
      </c>
      <c r="S108" s="1" t="str">
        <f t="shared" si="2"/>
        <v>Silverline Wholesalers</v>
      </c>
      <c r="V108"/>
      <c r="Z108" s="11" t="s">
        <v>35</v>
      </c>
      <c r="AA108" s="1" t="str">
        <f t="shared" si="3"/>
        <v>T-Bracket 100mm</v>
      </c>
      <c r="AF108"/>
    </row>
    <row r="109" spans="1:32" x14ac:dyDescent="0.3">
      <c r="A109" s="10">
        <v>44235</v>
      </c>
      <c r="B109" s="3" t="s">
        <v>145</v>
      </c>
      <c r="C109" s="11" t="s">
        <v>232</v>
      </c>
      <c r="D109" s="12">
        <v>48.84</v>
      </c>
      <c r="E109" s="1">
        <v>3</v>
      </c>
      <c r="F109" s="13">
        <f>InputData[[#This Row],[QUANTITY]]*InputData[[#This Row],[UNIT PRICE (R)]]</f>
        <v>146.52000000000001</v>
      </c>
      <c r="G109" s="1" t="str">
        <f>VLOOKUP(InputData[[#This Row],[CUSTOMER NAME]],Country[],2,0)</f>
        <v>India</v>
      </c>
      <c r="H109" s="1" t="str">
        <f>VLOOKUP(InputData[[#This Row],[CUSTOMER NAME]],Country[],3,0)</f>
        <v>Northeast</v>
      </c>
      <c r="I109" s="1" t="str">
        <f>TEXT(InputData[[#This Row],[DATE]],"mmmm")</f>
        <v>February</v>
      </c>
      <c r="J109" s="1" t="str">
        <f>TEXT(InputData[[#This Row],[DATE]],"ddd")</f>
        <v>Mon</v>
      </c>
      <c r="K109" s="14">
        <f>WEEKNUM(InputData[[#This Row],[DATE]])</f>
        <v>7</v>
      </c>
      <c r="N109"/>
      <c r="R109" s="3" t="s">
        <v>72</v>
      </c>
      <c r="S109" s="1" t="str">
        <f t="shared" si="2"/>
        <v>Hendricks Mercantile</v>
      </c>
      <c r="V109"/>
      <c r="Z109" s="11" t="s">
        <v>16</v>
      </c>
      <c r="AA109" s="1" t="str">
        <f t="shared" si="3"/>
        <v>Blind Rivet 6mm</v>
      </c>
      <c r="AF109"/>
    </row>
    <row r="110" spans="1:32" x14ac:dyDescent="0.3">
      <c r="A110" s="10">
        <v>44235</v>
      </c>
      <c r="B110" s="3" t="s">
        <v>174</v>
      </c>
      <c r="C110" s="11" t="s">
        <v>233</v>
      </c>
      <c r="D110" s="12">
        <v>155.61000000000001</v>
      </c>
      <c r="E110" s="1">
        <v>11</v>
      </c>
      <c r="F110" s="13">
        <f>InputData[[#This Row],[QUANTITY]]*InputData[[#This Row],[UNIT PRICE (R)]]</f>
        <v>1711.71</v>
      </c>
      <c r="G110" s="1" t="str">
        <f>VLOOKUP(InputData[[#This Row],[CUSTOMER NAME]],Country[],2,0)</f>
        <v>Pakistan</v>
      </c>
      <c r="H110" s="1" t="str">
        <f>VLOOKUP(InputData[[#This Row],[CUSTOMER NAME]],Country[],3,0)</f>
        <v>Export</v>
      </c>
      <c r="I110" s="1" t="str">
        <f>TEXT(InputData[[#This Row],[DATE]],"mmmm")</f>
        <v>February</v>
      </c>
      <c r="J110" s="1" t="str">
        <f>TEXT(InputData[[#This Row],[DATE]],"ddd")</f>
        <v>Mon</v>
      </c>
      <c r="K110" s="14">
        <f>WEEKNUM(InputData[[#This Row],[DATE]])</f>
        <v>7</v>
      </c>
      <c r="N110"/>
      <c r="R110" s="3" t="s">
        <v>50</v>
      </c>
      <c r="S110" s="1" t="str">
        <f t="shared" si="2"/>
        <v>Meridian Hardware Co.</v>
      </c>
      <c r="V110"/>
      <c r="Z110" s="11" t="s">
        <v>4</v>
      </c>
      <c r="AA110" s="1" t="str">
        <f t="shared" si="3"/>
        <v>Carriage Bolt M8</v>
      </c>
      <c r="AF110"/>
    </row>
    <row r="111" spans="1:32" x14ac:dyDescent="0.3">
      <c r="A111" s="10">
        <v>44235</v>
      </c>
      <c r="B111" s="3" t="s">
        <v>148</v>
      </c>
      <c r="C111" s="11" t="s">
        <v>268</v>
      </c>
      <c r="D111" s="12">
        <v>115.2</v>
      </c>
      <c r="E111" s="1">
        <v>39</v>
      </c>
      <c r="F111" s="13">
        <f>InputData[[#This Row],[QUANTITY]]*InputData[[#This Row],[UNIT PRICE (R)]]</f>
        <v>4492.8</v>
      </c>
      <c r="G111" s="1" t="str">
        <f>VLOOKUP(InputData[[#This Row],[CUSTOMER NAME]],Country[],2,0)</f>
        <v>Pakistan</v>
      </c>
      <c r="H111" s="1" t="str">
        <f>VLOOKUP(InputData[[#This Row],[CUSTOMER NAME]],Country[],3,0)</f>
        <v>Export</v>
      </c>
      <c r="I111" s="1" t="str">
        <f>TEXT(InputData[[#This Row],[DATE]],"mmmm")</f>
        <v>February</v>
      </c>
      <c r="J111" s="1" t="str">
        <f>TEXT(InputData[[#This Row],[DATE]],"ddd")</f>
        <v>Mon</v>
      </c>
      <c r="K111" s="14">
        <f>WEEKNUM(InputData[[#This Row],[DATE]])</f>
        <v>7</v>
      </c>
      <c r="N111"/>
      <c r="R111" s="3" t="s">
        <v>96</v>
      </c>
      <c r="S111" s="1" t="str">
        <f t="shared" si="2"/>
        <v>Draycott Wholesalers</v>
      </c>
      <c r="V111"/>
      <c r="Z111" s="11" t="s">
        <v>5</v>
      </c>
      <c r="AA111" s="1" t="str">
        <f t="shared" si="3"/>
        <v>Wing Nut M6</v>
      </c>
      <c r="AF111"/>
    </row>
    <row r="112" spans="1:32" x14ac:dyDescent="0.3">
      <c r="A112" s="10">
        <v>44235</v>
      </c>
      <c r="B112" s="3" t="s">
        <v>148</v>
      </c>
      <c r="C112" s="11" t="s">
        <v>258</v>
      </c>
      <c r="D112" s="12">
        <v>201.28</v>
      </c>
      <c r="E112" s="1">
        <v>12</v>
      </c>
      <c r="F112" s="13">
        <f>InputData[[#This Row],[QUANTITY]]*InputData[[#This Row],[UNIT PRICE (R)]]</f>
        <v>2415.36</v>
      </c>
      <c r="G112" s="1" t="str">
        <f>VLOOKUP(InputData[[#This Row],[CUSTOMER NAME]],Country[],2,0)</f>
        <v>Pakistan</v>
      </c>
      <c r="H112" s="1" t="str">
        <f>VLOOKUP(InputData[[#This Row],[CUSTOMER NAME]],Country[],3,0)</f>
        <v>Export</v>
      </c>
      <c r="I112" s="1" t="str">
        <f>TEXT(InputData[[#This Row],[DATE]],"mmmm")</f>
        <v>February</v>
      </c>
      <c r="J112" s="1" t="str">
        <f>TEXT(InputData[[#This Row],[DATE]],"ddd")</f>
        <v>Mon</v>
      </c>
      <c r="K112" s="14">
        <f>WEEKNUM(InputData[[#This Row],[DATE]])</f>
        <v>7</v>
      </c>
      <c r="N112"/>
      <c r="R112" s="3" t="s">
        <v>53</v>
      </c>
      <c r="S112" s="1" t="str">
        <f t="shared" si="2"/>
        <v>Vantage Point Retailers</v>
      </c>
      <c r="V112"/>
      <c r="Z112" s="11" t="s">
        <v>40</v>
      </c>
      <c r="AA112" s="1" t="str">
        <f t="shared" si="3"/>
        <v>Conduit Clamp 25mm</v>
      </c>
      <c r="AF112"/>
    </row>
    <row r="113" spans="1:32" x14ac:dyDescent="0.3">
      <c r="A113" s="10">
        <v>44236</v>
      </c>
      <c r="B113" s="3" t="s">
        <v>158</v>
      </c>
      <c r="C113" s="11" t="s">
        <v>262</v>
      </c>
      <c r="D113" s="12">
        <v>58.3</v>
      </c>
      <c r="E113" s="1">
        <v>14</v>
      </c>
      <c r="F113" s="13">
        <f>InputData[[#This Row],[QUANTITY]]*InputData[[#This Row],[UNIT PRICE (R)]]</f>
        <v>816.19999999999993</v>
      </c>
      <c r="G113" s="1" t="str">
        <f>VLOOKUP(InputData[[#This Row],[CUSTOMER NAME]],Country[],2,0)</f>
        <v>Russia</v>
      </c>
      <c r="H113" s="1" t="str">
        <f>VLOOKUP(InputData[[#This Row],[CUSTOMER NAME]],Country[],3,0)</f>
        <v>Export</v>
      </c>
      <c r="I113" s="1" t="str">
        <f>TEXT(InputData[[#This Row],[DATE]],"mmmm")</f>
        <v>February</v>
      </c>
      <c r="J113" s="1" t="str">
        <f>TEXT(InputData[[#This Row],[DATE]],"ddd")</f>
        <v>Tue</v>
      </c>
      <c r="K113" s="14">
        <f>WEEKNUM(InputData[[#This Row],[DATE]])</f>
        <v>7</v>
      </c>
      <c r="N113"/>
      <c r="R113" s="3" t="s">
        <v>53</v>
      </c>
      <c r="S113" s="1" t="str">
        <f t="shared" si="2"/>
        <v>Vantage Point Retailers</v>
      </c>
      <c r="V113"/>
      <c r="Z113" s="11" t="s">
        <v>30</v>
      </c>
      <c r="AA113" s="1" t="str">
        <f t="shared" si="3"/>
        <v>Door Latch Set</v>
      </c>
      <c r="AF113"/>
    </row>
    <row r="114" spans="1:32" x14ac:dyDescent="0.3">
      <c r="A114" s="10">
        <v>44236</v>
      </c>
      <c r="B114" s="3" t="s">
        <v>158</v>
      </c>
      <c r="C114" s="11" t="s">
        <v>249</v>
      </c>
      <c r="D114" s="12">
        <v>162.54</v>
      </c>
      <c r="E114" s="1">
        <v>32</v>
      </c>
      <c r="F114" s="13">
        <f>InputData[[#This Row],[QUANTITY]]*InputData[[#This Row],[UNIT PRICE (R)]]</f>
        <v>5201.28</v>
      </c>
      <c r="G114" s="1" t="str">
        <f>VLOOKUP(InputData[[#This Row],[CUSTOMER NAME]],Country[],2,0)</f>
        <v>Russia</v>
      </c>
      <c r="H114" s="1" t="str">
        <f>VLOOKUP(InputData[[#This Row],[CUSTOMER NAME]],Country[],3,0)</f>
        <v>Export</v>
      </c>
      <c r="I114" s="1" t="str">
        <f>TEXT(InputData[[#This Row],[DATE]],"mmmm")</f>
        <v>February</v>
      </c>
      <c r="J114" s="1" t="str">
        <f>TEXT(InputData[[#This Row],[DATE]],"ddd")</f>
        <v>Tue</v>
      </c>
      <c r="K114" s="14">
        <f>WEEKNUM(InputData[[#This Row],[DATE]])</f>
        <v>7</v>
      </c>
      <c r="N114"/>
      <c r="R114" s="3" t="s">
        <v>63</v>
      </c>
      <c r="S114" s="1" t="str">
        <f t="shared" si="2"/>
        <v>Ovenden &amp; Sons</v>
      </c>
      <c r="V114"/>
      <c r="Z114" s="11" t="s">
        <v>34</v>
      </c>
      <c r="AA114" s="1" t="str">
        <f t="shared" si="3"/>
        <v>L-Bracket 75mm</v>
      </c>
      <c r="AF114"/>
    </row>
    <row r="115" spans="1:32" x14ac:dyDescent="0.3">
      <c r="A115" s="10">
        <v>44236</v>
      </c>
      <c r="B115" s="3" t="s">
        <v>172</v>
      </c>
      <c r="C115" s="11" t="s">
        <v>260</v>
      </c>
      <c r="D115" s="12">
        <v>117.48</v>
      </c>
      <c r="E115" s="1">
        <v>14</v>
      </c>
      <c r="F115" s="13">
        <f>InputData[[#This Row],[QUANTITY]]*InputData[[#This Row],[UNIT PRICE (R)]]</f>
        <v>1644.72</v>
      </c>
      <c r="G115" s="1" t="str">
        <f>VLOOKUP(InputData[[#This Row],[CUSTOMER NAME]],Country[],2,0)</f>
        <v>Mexico</v>
      </c>
      <c r="H115" s="1" t="str">
        <f>VLOOKUP(InputData[[#This Row],[CUSTOMER NAME]],Country[],3,0)</f>
        <v>Export</v>
      </c>
      <c r="I115" s="1" t="str">
        <f>TEXT(InputData[[#This Row],[DATE]],"mmmm")</f>
        <v>February</v>
      </c>
      <c r="J115" s="1" t="str">
        <f>TEXT(InputData[[#This Row],[DATE]],"ddd")</f>
        <v>Tue</v>
      </c>
      <c r="K115" s="14">
        <f>WEEKNUM(InputData[[#This Row],[DATE]])</f>
        <v>7</v>
      </c>
      <c r="N115"/>
      <c r="R115" s="3" t="s">
        <v>63</v>
      </c>
      <c r="S115" s="1" t="str">
        <f t="shared" si="2"/>
        <v>Ovenden &amp; Sons</v>
      </c>
      <c r="V115"/>
      <c r="Z115" s="11" t="s">
        <v>21</v>
      </c>
      <c r="AA115" s="1" t="str">
        <f t="shared" si="3"/>
        <v>Pipe Clamp 25mm</v>
      </c>
      <c r="AF115"/>
    </row>
    <row r="116" spans="1:32" x14ac:dyDescent="0.3">
      <c r="A116" s="10">
        <v>44237</v>
      </c>
      <c r="B116" s="3" t="s">
        <v>146</v>
      </c>
      <c r="C116" s="11" t="s">
        <v>247</v>
      </c>
      <c r="D116" s="12">
        <v>210</v>
      </c>
      <c r="E116" s="1">
        <v>4</v>
      </c>
      <c r="F116" s="13">
        <f>InputData[[#This Row],[QUANTITY]]*InputData[[#This Row],[UNIT PRICE (R)]]</f>
        <v>840</v>
      </c>
      <c r="G116" s="1" t="str">
        <f>VLOOKUP(InputData[[#This Row],[CUSTOMER NAME]],Country[],2,0)</f>
        <v>Saudi Arabia</v>
      </c>
      <c r="H116" s="1" t="str">
        <f>VLOOKUP(InputData[[#This Row],[CUSTOMER NAME]],Country[],3,0)</f>
        <v>Export</v>
      </c>
      <c r="I116" s="1" t="str">
        <f>TEXT(InputData[[#This Row],[DATE]],"mmmm")</f>
        <v>February</v>
      </c>
      <c r="J116" s="1" t="str">
        <f>TEXT(InputData[[#This Row],[DATE]],"ddd")</f>
        <v>Wed</v>
      </c>
      <c r="K116" s="14">
        <f>WEEKNUM(InputData[[#This Row],[DATE]])</f>
        <v>7</v>
      </c>
      <c r="N116"/>
      <c r="R116" s="3" t="s">
        <v>77</v>
      </c>
      <c r="S116" s="1" t="str">
        <f t="shared" si="2"/>
        <v>Fenwick Traders</v>
      </c>
      <c r="V116"/>
      <c r="Z116" s="11" t="s">
        <v>32</v>
      </c>
      <c r="AA116" s="1" t="str">
        <f t="shared" si="3"/>
        <v>Corner Bracket 50mm</v>
      </c>
      <c r="AF116"/>
    </row>
    <row r="117" spans="1:32" x14ac:dyDescent="0.3">
      <c r="A117" s="10">
        <v>44237</v>
      </c>
      <c r="B117" s="3" t="s">
        <v>161</v>
      </c>
      <c r="C117" s="11" t="s">
        <v>236</v>
      </c>
      <c r="D117" s="12">
        <v>94.62</v>
      </c>
      <c r="E117" s="1">
        <v>38</v>
      </c>
      <c r="F117" s="13">
        <f>InputData[[#This Row],[QUANTITY]]*InputData[[#This Row],[UNIT PRICE (R)]]</f>
        <v>3595.5600000000004</v>
      </c>
      <c r="G117" s="1" t="str">
        <f>VLOOKUP(InputData[[#This Row],[CUSTOMER NAME]],Country[],2,0)</f>
        <v>India</v>
      </c>
      <c r="H117" s="1" t="str">
        <f>VLOOKUP(InputData[[#This Row],[CUSTOMER NAME]],Country[],3,0)</f>
        <v>Central</v>
      </c>
      <c r="I117" s="1" t="str">
        <f>TEXT(InputData[[#This Row],[DATE]],"mmmm")</f>
        <v>February</v>
      </c>
      <c r="J117" s="1" t="str">
        <f>TEXT(InputData[[#This Row],[DATE]],"ddd")</f>
        <v>Wed</v>
      </c>
      <c r="K117" s="14">
        <f>WEEKNUM(InputData[[#This Row],[DATE]])</f>
        <v>7</v>
      </c>
      <c r="N117"/>
      <c r="R117" s="3" t="s">
        <v>51</v>
      </c>
      <c r="S117" s="1" t="str">
        <f t="shared" si="2"/>
        <v>Coastal Fittings Ltd</v>
      </c>
      <c r="V117"/>
      <c r="Z117" s="11" t="s">
        <v>19</v>
      </c>
      <c r="AA117" s="1" t="str">
        <f t="shared" si="3"/>
        <v>Anchor Bolt M10</v>
      </c>
      <c r="AF117"/>
    </row>
    <row r="118" spans="1:32" x14ac:dyDescent="0.3">
      <c r="A118" s="10">
        <v>44239</v>
      </c>
      <c r="B118" s="3" t="s">
        <v>143</v>
      </c>
      <c r="C118" s="11" t="s">
        <v>251</v>
      </c>
      <c r="D118" s="12">
        <v>149.46</v>
      </c>
      <c r="E118" s="1">
        <v>9</v>
      </c>
      <c r="F118" s="13">
        <f>InputData[[#This Row],[QUANTITY]]*InputData[[#This Row],[UNIT PRICE (R)]]</f>
        <v>1345.14</v>
      </c>
      <c r="G118" s="1" t="str">
        <f>VLOOKUP(InputData[[#This Row],[CUSTOMER NAME]],Country[],2,0)</f>
        <v>Nigeria</v>
      </c>
      <c r="H118" s="1" t="str">
        <f>VLOOKUP(InputData[[#This Row],[CUSTOMER NAME]],Country[],3,0)</f>
        <v>Export</v>
      </c>
      <c r="I118" s="1" t="str">
        <f>TEXT(InputData[[#This Row],[DATE]],"mmmm")</f>
        <v>February</v>
      </c>
      <c r="J118" s="1" t="str">
        <f>TEXT(InputData[[#This Row],[DATE]],"ddd")</f>
        <v>Fri</v>
      </c>
      <c r="K118" s="14">
        <f>WEEKNUM(InputData[[#This Row],[DATE]])</f>
        <v>7</v>
      </c>
      <c r="N118"/>
      <c r="R118" s="3" t="s">
        <v>66</v>
      </c>
      <c r="S118" s="1" t="str">
        <f t="shared" si="2"/>
        <v>Whitfield Distributors</v>
      </c>
      <c r="V118"/>
      <c r="Z118" s="11" t="s">
        <v>8</v>
      </c>
      <c r="AA118" s="1" t="str">
        <f t="shared" si="3"/>
        <v>Flat Washer M10</v>
      </c>
      <c r="AF118"/>
    </row>
    <row r="119" spans="1:32" x14ac:dyDescent="0.3">
      <c r="A119" s="10">
        <v>44239</v>
      </c>
      <c r="B119" s="3" t="s">
        <v>175</v>
      </c>
      <c r="C119" s="11" t="s">
        <v>238</v>
      </c>
      <c r="D119" s="12">
        <v>164.28</v>
      </c>
      <c r="E119" s="1">
        <v>13</v>
      </c>
      <c r="F119" s="13">
        <f>InputData[[#This Row],[QUANTITY]]*InputData[[#This Row],[UNIT PRICE (R)]]</f>
        <v>2135.64</v>
      </c>
      <c r="G119" s="1" t="str">
        <f>VLOOKUP(InputData[[#This Row],[CUSTOMER NAME]],Country[],2,0)</f>
        <v>India</v>
      </c>
      <c r="H119" s="1" t="str">
        <f>VLOOKUP(InputData[[#This Row],[CUSTOMER NAME]],Country[],3,0)</f>
        <v>Western</v>
      </c>
      <c r="I119" s="1" t="str">
        <f>TEXT(InputData[[#This Row],[DATE]],"mmmm")</f>
        <v>February</v>
      </c>
      <c r="J119" s="1" t="str">
        <f>TEXT(InputData[[#This Row],[DATE]],"ddd")</f>
        <v>Fri</v>
      </c>
      <c r="K119" s="14">
        <f>WEEKNUM(InputData[[#This Row],[DATE]])</f>
        <v>7</v>
      </c>
      <c r="N119"/>
      <c r="R119" s="3" t="s">
        <v>48</v>
      </c>
      <c r="S119" s="1" t="str">
        <f t="shared" si="2"/>
        <v>Thornwell Trading</v>
      </c>
      <c r="V119"/>
      <c r="Z119" s="11" t="s">
        <v>23</v>
      </c>
      <c r="AA119" s="1" t="str">
        <f t="shared" si="3"/>
        <v>U-Bolt M8</v>
      </c>
      <c r="AF119"/>
    </row>
    <row r="120" spans="1:32" x14ac:dyDescent="0.3">
      <c r="A120" s="10">
        <v>44239</v>
      </c>
      <c r="B120" s="3" t="s">
        <v>157</v>
      </c>
      <c r="C120" s="11" t="s">
        <v>236</v>
      </c>
      <c r="D120" s="12">
        <v>94.62</v>
      </c>
      <c r="E120" s="1">
        <v>7</v>
      </c>
      <c r="F120" s="13">
        <f>InputData[[#This Row],[QUANTITY]]*InputData[[#This Row],[UNIT PRICE (R)]]</f>
        <v>662.34</v>
      </c>
      <c r="G120" s="1" t="str">
        <f>VLOOKUP(InputData[[#This Row],[CUSTOMER NAME]],Country[],2,0)</f>
        <v>Brazil</v>
      </c>
      <c r="H120" s="1" t="str">
        <f>VLOOKUP(InputData[[#This Row],[CUSTOMER NAME]],Country[],3,0)</f>
        <v>Export</v>
      </c>
      <c r="I120" s="1" t="str">
        <f>TEXT(InputData[[#This Row],[DATE]],"mmmm")</f>
        <v>February</v>
      </c>
      <c r="J120" s="1" t="str">
        <f>TEXT(InputData[[#This Row],[DATE]],"ddd")</f>
        <v>Fri</v>
      </c>
      <c r="K120" s="14">
        <f>WEEKNUM(InputData[[#This Row],[DATE]])</f>
        <v>7</v>
      </c>
      <c r="N120"/>
      <c r="R120" s="3" t="s">
        <v>97</v>
      </c>
      <c r="S120" s="1" t="str">
        <f t="shared" si="2"/>
        <v>Stonebridge Commercial</v>
      </c>
      <c r="V120"/>
      <c r="Z120" s="11" t="s">
        <v>10</v>
      </c>
      <c r="AA120" s="1" t="str">
        <f t="shared" si="3"/>
        <v>Self-Tapping Screw 25mm</v>
      </c>
      <c r="AF120"/>
    </row>
    <row r="121" spans="1:32" x14ac:dyDescent="0.3">
      <c r="A121" s="10">
        <v>44240</v>
      </c>
      <c r="B121" s="3" t="s">
        <v>175</v>
      </c>
      <c r="C121" s="11" t="s">
        <v>231</v>
      </c>
      <c r="D121" s="12">
        <v>80.94</v>
      </c>
      <c r="E121" s="1">
        <v>17</v>
      </c>
      <c r="F121" s="13">
        <f>InputData[[#This Row],[QUANTITY]]*InputData[[#This Row],[UNIT PRICE (R)]]</f>
        <v>1375.98</v>
      </c>
      <c r="G121" s="1" t="str">
        <f>VLOOKUP(InputData[[#This Row],[CUSTOMER NAME]],Country[],2,0)</f>
        <v>India</v>
      </c>
      <c r="H121" s="1" t="str">
        <f>VLOOKUP(InputData[[#This Row],[CUSTOMER NAME]],Country[],3,0)</f>
        <v>Western</v>
      </c>
      <c r="I121" s="1" t="str">
        <f>TEXT(InputData[[#This Row],[DATE]],"mmmm")</f>
        <v>February</v>
      </c>
      <c r="J121" s="1" t="str">
        <f>TEXT(InputData[[#This Row],[DATE]],"ddd")</f>
        <v>Sat</v>
      </c>
      <c r="K121" s="14">
        <f>WEEKNUM(InputData[[#This Row],[DATE]])</f>
        <v>7</v>
      </c>
      <c r="N121"/>
      <c r="R121" s="3" t="s">
        <v>62</v>
      </c>
      <c r="S121" s="1" t="str">
        <f t="shared" si="2"/>
        <v>Marchbank Traders</v>
      </c>
      <c r="V121"/>
      <c r="Z121" s="11" t="s">
        <v>8</v>
      </c>
      <c r="AA121" s="1" t="str">
        <f t="shared" si="3"/>
        <v>Flat Washer M10</v>
      </c>
      <c r="AF121"/>
    </row>
    <row r="122" spans="1:32" x14ac:dyDescent="0.3">
      <c r="A122" s="10">
        <v>44240</v>
      </c>
      <c r="B122" s="3" t="s">
        <v>178</v>
      </c>
      <c r="C122" s="11" t="s">
        <v>233</v>
      </c>
      <c r="D122" s="12">
        <v>155.61000000000001</v>
      </c>
      <c r="E122" s="1">
        <v>35</v>
      </c>
      <c r="F122" s="13">
        <f>InputData[[#This Row],[QUANTITY]]*InputData[[#This Row],[UNIT PRICE (R)]]</f>
        <v>5446.35</v>
      </c>
      <c r="G122" s="1" t="str">
        <f>VLOOKUP(InputData[[#This Row],[CUSTOMER NAME]],Country[],2,0)</f>
        <v>Pakistan</v>
      </c>
      <c r="H122" s="1" t="str">
        <f>VLOOKUP(InputData[[#This Row],[CUSTOMER NAME]],Country[],3,0)</f>
        <v>Export</v>
      </c>
      <c r="I122" s="1" t="str">
        <f>TEXT(InputData[[#This Row],[DATE]],"mmmm")</f>
        <v>February</v>
      </c>
      <c r="J122" s="1" t="str">
        <f>TEXT(InputData[[#This Row],[DATE]],"ddd")</f>
        <v>Sat</v>
      </c>
      <c r="K122" s="14">
        <f>WEEKNUM(InputData[[#This Row],[DATE]])</f>
        <v>7</v>
      </c>
      <c r="N122"/>
      <c r="R122" s="3" t="s">
        <v>97</v>
      </c>
      <c r="S122" s="1" t="str">
        <f t="shared" si="2"/>
        <v>Stonebridge Commercial</v>
      </c>
      <c r="V122"/>
      <c r="Z122" s="11" t="s">
        <v>3</v>
      </c>
      <c r="AA122" s="1" t="str">
        <f t="shared" si="3"/>
        <v>Hex Bolt M12</v>
      </c>
      <c r="AF122"/>
    </row>
    <row r="123" spans="1:32" x14ac:dyDescent="0.3">
      <c r="A123" s="10">
        <v>44241</v>
      </c>
      <c r="B123" s="3" t="s">
        <v>143</v>
      </c>
      <c r="C123" s="11" t="s">
        <v>256</v>
      </c>
      <c r="D123" s="12">
        <v>41.81</v>
      </c>
      <c r="E123" s="1">
        <v>3</v>
      </c>
      <c r="F123" s="13">
        <f>InputData[[#This Row],[QUANTITY]]*InputData[[#This Row],[UNIT PRICE (R)]]</f>
        <v>125.43</v>
      </c>
      <c r="G123" s="1" t="str">
        <f>VLOOKUP(InputData[[#This Row],[CUSTOMER NAME]],Country[],2,0)</f>
        <v>Nigeria</v>
      </c>
      <c r="H123" s="1" t="str">
        <f>VLOOKUP(InputData[[#This Row],[CUSTOMER NAME]],Country[],3,0)</f>
        <v>Export</v>
      </c>
      <c r="I123" s="1" t="str">
        <f>TEXT(InputData[[#This Row],[DATE]],"mmmm")</f>
        <v>February</v>
      </c>
      <c r="J123" s="1" t="str">
        <f>TEXT(InputData[[#This Row],[DATE]],"ddd")</f>
        <v>Sun</v>
      </c>
      <c r="K123" s="14">
        <f>WEEKNUM(InputData[[#This Row],[DATE]])</f>
        <v>8</v>
      </c>
      <c r="N123"/>
      <c r="R123" s="3" t="s">
        <v>100</v>
      </c>
      <c r="S123" s="1" t="str">
        <f t="shared" si="2"/>
        <v>Pemberton &amp; Associates</v>
      </c>
      <c r="V123"/>
      <c r="Z123" s="11" t="s">
        <v>5</v>
      </c>
      <c r="AA123" s="1" t="str">
        <f t="shared" si="3"/>
        <v>Wing Nut M6</v>
      </c>
      <c r="AF123"/>
    </row>
    <row r="124" spans="1:32" x14ac:dyDescent="0.3">
      <c r="A124" s="10">
        <v>44241</v>
      </c>
      <c r="B124" s="3" t="s">
        <v>163</v>
      </c>
      <c r="C124" s="11" t="s">
        <v>262</v>
      </c>
      <c r="D124" s="12">
        <v>58.3</v>
      </c>
      <c r="E124" s="1">
        <v>8</v>
      </c>
      <c r="F124" s="13">
        <f>InputData[[#This Row],[QUANTITY]]*InputData[[#This Row],[UNIT PRICE (R)]]</f>
        <v>466.4</v>
      </c>
      <c r="G124" s="1" t="str">
        <f>VLOOKUP(InputData[[#This Row],[CUSTOMER NAME]],Country[],2,0)</f>
        <v>South Africa</v>
      </c>
      <c r="H124" s="1" t="str">
        <f>VLOOKUP(InputData[[#This Row],[CUSTOMER NAME]],Country[],3,0)</f>
        <v>Export</v>
      </c>
      <c r="I124" s="1" t="str">
        <f>TEXT(InputData[[#This Row],[DATE]],"mmmm")</f>
        <v>February</v>
      </c>
      <c r="J124" s="1" t="str">
        <f>TEXT(InputData[[#This Row],[DATE]],"ddd")</f>
        <v>Sun</v>
      </c>
      <c r="K124" s="14">
        <f>WEEKNUM(InputData[[#This Row],[DATE]])</f>
        <v>8</v>
      </c>
      <c r="N124"/>
      <c r="R124" s="3" t="s">
        <v>48</v>
      </c>
      <c r="S124" s="1" t="str">
        <f t="shared" si="2"/>
        <v>Thornwell Trading</v>
      </c>
      <c r="V124"/>
      <c r="Z124" s="11" t="s">
        <v>28</v>
      </c>
      <c r="AA124" s="1" t="str">
        <f t="shared" si="3"/>
        <v>Cabinet Hinge 75mm</v>
      </c>
      <c r="AF124"/>
    </row>
    <row r="125" spans="1:32" x14ac:dyDescent="0.3">
      <c r="A125" s="10">
        <v>44241</v>
      </c>
      <c r="B125" s="3" t="s">
        <v>172</v>
      </c>
      <c r="C125" s="11" t="s">
        <v>254</v>
      </c>
      <c r="D125" s="12">
        <v>24.66</v>
      </c>
      <c r="E125" s="1">
        <v>8</v>
      </c>
      <c r="F125" s="13">
        <f>InputData[[#This Row],[QUANTITY]]*InputData[[#This Row],[UNIT PRICE (R)]]</f>
        <v>197.28</v>
      </c>
      <c r="G125" s="1" t="str">
        <f>VLOOKUP(InputData[[#This Row],[CUSTOMER NAME]],Country[],2,0)</f>
        <v>Mexico</v>
      </c>
      <c r="H125" s="1" t="str">
        <f>VLOOKUP(InputData[[#This Row],[CUSTOMER NAME]],Country[],3,0)</f>
        <v>Export</v>
      </c>
      <c r="I125" s="1" t="str">
        <f>TEXT(InputData[[#This Row],[DATE]],"mmmm")</f>
        <v>February</v>
      </c>
      <c r="J125" s="1" t="str">
        <f>TEXT(InputData[[#This Row],[DATE]],"ddd")</f>
        <v>Sun</v>
      </c>
      <c r="K125" s="14">
        <f>WEEKNUM(InputData[[#This Row],[DATE]])</f>
        <v>8</v>
      </c>
      <c r="N125"/>
      <c r="R125" s="3" t="s">
        <v>68</v>
      </c>
      <c r="S125" s="1" t="str">
        <f t="shared" si="2"/>
        <v>Delacroix Wholesale</v>
      </c>
      <c r="V125"/>
      <c r="Z125" s="11" t="s">
        <v>34</v>
      </c>
      <c r="AA125" s="1" t="str">
        <f t="shared" si="3"/>
        <v>L-Bracket 75mm</v>
      </c>
      <c r="AF125"/>
    </row>
    <row r="126" spans="1:32" x14ac:dyDescent="0.3">
      <c r="A126" s="10">
        <v>44242</v>
      </c>
      <c r="B126" s="3" t="s">
        <v>143</v>
      </c>
      <c r="C126" s="11" t="s">
        <v>257</v>
      </c>
      <c r="D126" s="12">
        <v>53.11</v>
      </c>
      <c r="E126" s="1">
        <v>28</v>
      </c>
      <c r="F126" s="13">
        <f>InputData[[#This Row],[QUANTITY]]*InputData[[#This Row],[UNIT PRICE (R)]]</f>
        <v>1487.08</v>
      </c>
      <c r="G126" s="1" t="str">
        <f>VLOOKUP(InputData[[#This Row],[CUSTOMER NAME]],Country[],2,0)</f>
        <v>Nigeria</v>
      </c>
      <c r="H126" s="1" t="str">
        <f>VLOOKUP(InputData[[#This Row],[CUSTOMER NAME]],Country[],3,0)</f>
        <v>Export</v>
      </c>
      <c r="I126" s="1" t="str">
        <f>TEXT(InputData[[#This Row],[DATE]],"mmmm")</f>
        <v>February</v>
      </c>
      <c r="J126" s="1" t="str">
        <f>TEXT(InputData[[#This Row],[DATE]],"ddd")</f>
        <v>Mon</v>
      </c>
      <c r="K126" s="14">
        <f>WEEKNUM(InputData[[#This Row],[DATE]])</f>
        <v>8</v>
      </c>
      <c r="N126"/>
      <c r="R126" s="3" t="s">
        <v>77</v>
      </c>
      <c r="S126" s="1" t="str">
        <f t="shared" si="2"/>
        <v>Fenwick Traders</v>
      </c>
      <c r="V126"/>
      <c r="Z126" s="11" t="s">
        <v>26</v>
      </c>
      <c r="AA126" s="1" t="str">
        <f t="shared" si="3"/>
        <v>Chain Link 6mm</v>
      </c>
      <c r="AF126"/>
    </row>
    <row r="127" spans="1:32" x14ac:dyDescent="0.3">
      <c r="A127" s="10">
        <v>44242</v>
      </c>
      <c r="B127" s="3" t="s">
        <v>148</v>
      </c>
      <c r="C127" s="11" t="s">
        <v>255</v>
      </c>
      <c r="D127" s="12">
        <v>57.120000000000005</v>
      </c>
      <c r="E127" s="1">
        <v>4</v>
      </c>
      <c r="F127" s="13">
        <f>InputData[[#This Row],[QUANTITY]]*InputData[[#This Row],[UNIT PRICE (R)]]</f>
        <v>228.48000000000002</v>
      </c>
      <c r="G127" s="1" t="str">
        <f>VLOOKUP(InputData[[#This Row],[CUSTOMER NAME]],Country[],2,0)</f>
        <v>Pakistan</v>
      </c>
      <c r="H127" s="1" t="str">
        <f>VLOOKUP(InputData[[#This Row],[CUSTOMER NAME]],Country[],3,0)</f>
        <v>Export</v>
      </c>
      <c r="I127" s="1" t="str">
        <f>TEXT(InputData[[#This Row],[DATE]],"mmmm")</f>
        <v>February</v>
      </c>
      <c r="J127" s="1" t="str">
        <f>TEXT(InputData[[#This Row],[DATE]],"ddd")</f>
        <v>Mon</v>
      </c>
      <c r="K127" s="14">
        <f>WEEKNUM(InputData[[#This Row],[DATE]])</f>
        <v>8</v>
      </c>
      <c r="N127"/>
      <c r="R127" s="3" t="s">
        <v>48</v>
      </c>
      <c r="S127" s="1" t="str">
        <f t="shared" si="2"/>
        <v>Thornwell Trading</v>
      </c>
      <c r="V127"/>
      <c r="Z127" s="11" t="s">
        <v>29</v>
      </c>
      <c r="AA127" s="1" t="str">
        <f t="shared" si="3"/>
        <v>Butt Hinge 100mm</v>
      </c>
      <c r="AF127"/>
    </row>
    <row r="128" spans="1:32" x14ac:dyDescent="0.3">
      <c r="A128" s="10">
        <v>44243</v>
      </c>
      <c r="B128" s="3" t="s">
        <v>175</v>
      </c>
      <c r="C128" s="11" t="s">
        <v>243</v>
      </c>
      <c r="D128" s="12">
        <v>15.719999999999999</v>
      </c>
      <c r="E128" s="1">
        <v>26</v>
      </c>
      <c r="F128" s="13">
        <f>InputData[[#This Row],[QUANTITY]]*InputData[[#This Row],[UNIT PRICE (R)]]</f>
        <v>408.71999999999997</v>
      </c>
      <c r="G128" s="1" t="str">
        <f>VLOOKUP(InputData[[#This Row],[CUSTOMER NAME]],Country[],2,0)</f>
        <v>India</v>
      </c>
      <c r="H128" s="1" t="str">
        <f>VLOOKUP(InputData[[#This Row],[CUSTOMER NAME]],Country[],3,0)</f>
        <v>Western</v>
      </c>
      <c r="I128" s="1" t="str">
        <f>TEXT(InputData[[#This Row],[DATE]],"mmmm")</f>
        <v>February</v>
      </c>
      <c r="J128" s="1" t="str">
        <f>TEXT(InputData[[#This Row],[DATE]],"ddd")</f>
        <v>Tue</v>
      </c>
      <c r="K128" s="14">
        <f>WEEKNUM(InputData[[#This Row],[DATE]])</f>
        <v>8</v>
      </c>
      <c r="N128"/>
      <c r="R128" s="3" t="s">
        <v>53</v>
      </c>
      <c r="S128" s="1" t="str">
        <f t="shared" si="2"/>
        <v>Vantage Point Retailers</v>
      </c>
      <c r="V128"/>
      <c r="Z128" s="11" t="s">
        <v>27</v>
      </c>
      <c r="AA128" s="1" t="str">
        <f t="shared" si="3"/>
        <v>Padlock Hasp 100mm</v>
      </c>
      <c r="AF128"/>
    </row>
    <row r="129" spans="1:32" x14ac:dyDescent="0.3">
      <c r="A129" s="10">
        <v>44243</v>
      </c>
      <c r="B129" s="3" t="s">
        <v>181</v>
      </c>
      <c r="C129" s="11" t="s">
        <v>260</v>
      </c>
      <c r="D129" s="12">
        <v>117.48</v>
      </c>
      <c r="E129" s="1">
        <v>1</v>
      </c>
      <c r="F129" s="13">
        <f>InputData[[#This Row],[QUANTITY]]*InputData[[#This Row],[UNIT PRICE (R)]]</f>
        <v>117.48</v>
      </c>
      <c r="G129" s="1" t="str">
        <f>VLOOKUP(InputData[[#This Row],[CUSTOMER NAME]],Country[],2,0)</f>
        <v>Germany</v>
      </c>
      <c r="H129" s="1" t="str">
        <f>VLOOKUP(InputData[[#This Row],[CUSTOMER NAME]],Country[],3,0)</f>
        <v>Export</v>
      </c>
      <c r="I129" s="1" t="str">
        <f>TEXT(InputData[[#This Row],[DATE]],"mmmm")</f>
        <v>February</v>
      </c>
      <c r="J129" s="1" t="str">
        <f>TEXT(InputData[[#This Row],[DATE]],"ddd")</f>
        <v>Tue</v>
      </c>
      <c r="K129" s="14">
        <f>WEEKNUM(InputData[[#This Row],[DATE]])</f>
        <v>8</v>
      </c>
      <c r="N129"/>
      <c r="R129" s="3" t="s">
        <v>97</v>
      </c>
      <c r="S129" s="1" t="str">
        <f t="shared" si="2"/>
        <v>Stonebridge Commercial</v>
      </c>
      <c r="V129"/>
      <c r="Z129" s="11" t="s">
        <v>15</v>
      </c>
      <c r="AA129" s="1" t="str">
        <f t="shared" si="3"/>
        <v>Rivet 4mm</v>
      </c>
      <c r="AF129"/>
    </row>
    <row r="130" spans="1:32" x14ac:dyDescent="0.3">
      <c r="A130" s="10">
        <v>44244</v>
      </c>
      <c r="B130" s="3" t="s">
        <v>157</v>
      </c>
      <c r="C130" s="11" t="s">
        <v>271</v>
      </c>
      <c r="D130" s="12">
        <v>83.08</v>
      </c>
      <c r="E130" s="1">
        <v>19</v>
      </c>
      <c r="F130" s="13">
        <f>InputData[[#This Row],[QUANTITY]]*InputData[[#This Row],[UNIT PRICE (R)]]</f>
        <v>1578.52</v>
      </c>
      <c r="G130" s="1" t="str">
        <f>VLOOKUP(InputData[[#This Row],[CUSTOMER NAME]],Country[],2,0)</f>
        <v>Brazil</v>
      </c>
      <c r="H130" s="1" t="str">
        <f>VLOOKUP(InputData[[#This Row],[CUSTOMER NAME]],Country[],3,0)</f>
        <v>Export</v>
      </c>
      <c r="I130" s="1" t="str">
        <f>TEXT(InputData[[#This Row],[DATE]],"mmmm")</f>
        <v>February</v>
      </c>
      <c r="J130" s="1" t="str">
        <f>TEXT(InputData[[#This Row],[DATE]],"ddd")</f>
        <v>Wed</v>
      </c>
      <c r="K130" s="14">
        <f>WEEKNUM(InputData[[#This Row],[DATE]])</f>
        <v>8</v>
      </c>
      <c r="N130"/>
      <c r="R130" s="3" t="s">
        <v>103</v>
      </c>
      <c r="S130" s="1" t="str">
        <f t="shared" si="2"/>
        <v>Vesterly Traders</v>
      </c>
      <c r="V130"/>
      <c r="Z130" s="11" t="s">
        <v>32</v>
      </c>
      <c r="AA130" s="1" t="str">
        <f t="shared" si="3"/>
        <v>Corner Bracket 50mm</v>
      </c>
      <c r="AF130"/>
    </row>
    <row r="131" spans="1:32" x14ac:dyDescent="0.3">
      <c r="A131" s="10">
        <v>44244</v>
      </c>
      <c r="B131" s="3" t="s">
        <v>157</v>
      </c>
      <c r="C131" s="11" t="s">
        <v>261</v>
      </c>
      <c r="D131" s="12">
        <v>119.7</v>
      </c>
      <c r="E131" s="1">
        <v>19</v>
      </c>
      <c r="F131" s="13">
        <f>InputData[[#This Row],[QUANTITY]]*InputData[[#This Row],[UNIT PRICE (R)]]</f>
        <v>2274.3000000000002</v>
      </c>
      <c r="G131" s="1" t="str">
        <f>VLOOKUP(InputData[[#This Row],[CUSTOMER NAME]],Country[],2,0)</f>
        <v>Brazil</v>
      </c>
      <c r="H131" s="1" t="str">
        <f>VLOOKUP(InputData[[#This Row],[CUSTOMER NAME]],Country[],3,0)</f>
        <v>Export</v>
      </c>
      <c r="I131" s="1" t="str">
        <f>TEXT(InputData[[#This Row],[DATE]],"mmmm")</f>
        <v>February</v>
      </c>
      <c r="J131" s="1" t="str">
        <f>TEXT(InputData[[#This Row],[DATE]],"ddd")</f>
        <v>Wed</v>
      </c>
      <c r="K131" s="14">
        <f>WEEKNUM(InputData[[#This Row],[DATE]])</f>
        <v>8</v>
      </c>
      <c r="N131"/>
      <c r="R131" s="3" t="s">
        <v>62</v>
      </c>
      <c r="S131" s="1" t="str">
        <f t="shared" si="2"/>
        <v>Marchbank Traders</v>
      </c>
      <c r="V131"/>
      <c r="Z131" s="11" t="s">
        <v>43</v>
      </c>
      <c r="AA131" s="1" t="str">
        <f t="shared" si="3"/>
        <v>Copper Pipe Fitting 15mm</v>
      </c>
      <c r="AF131"/>
    </row>
    <row r="132" spans="1:32" x14ac:dyDescent="0.3">
      <c r="A132" s="10">
        <v>44244</v>
      </c>
      <c r="B132" s="3" t="s">
        <v>166</v>
      </c>
      <c r="C132" s="11" t="s">
        <v>272</v>
      </c>
      <c r="D132" s="12">
        <v>82.08</v>
      </c>
      <c r="E132" s="1">
        <v>2</v>
      </c>
      <c r="F132" s="13">
        <f>InputData[[#This Row],[QUANTITY]]*InputData[[#This Row],[UNIT PRICE (R)]]</f>
        <v>164.16</v>
      </c>
      <c r="G132" s="1" t="str">
        <f>VLOOKUP(InputData[[#This Row],[CUSTOMER NAME]],Country[],2,0)</f>
        <v>India</v>
      </c>
      <c r="H132" s="1" t="str">
        <f>VLOOKUP(InputData[[#This Row],[CUSTOMER NAME]],Country[],3,0)</f>
        <v>North</v>
      </c>
      <c r="I132" s="1" t="str">
        <f>TEXT(InputData[[#This Row],[DATE]],"mmmm")</f>
        <v>February</v>
      </c>
      <c r="J132" s="1" t="str">
        <f>TEXT(InputData[[#This Row],[DATE]],"ddd")</f>
        <v>Wed</v>
      </c>
      <c r="K132" s="14">
        <f>WEEKNUM(InputData[[#This Row],[DATE]])</f>
        <v>8</v>
      </c>
      <c r="N132"/>
      <c r="R132" s="3" t="s">
        <v>62</v>
      </c>
      <c r="S132" s="1" t="str">
        <f t="shared" si="2"/>
        <v>Marchbank Traders</v>
      </c>
      <c r="V132"/>
      <c r="Z132" s="11" t="s">
        <v>33</v>
      </c>
      <c r="AA132" s="1" t="str">
        <f t="shared" si="3"/>
        <v>Shelf Bracket 200mm</v>
      </c>
      <c r="AF132"/>
    </row>
    <row r="133" spans="1:32" x14ac:dyDescent="0.3">
      <c r="A133" s="10">
        <v>44245</v>
      </c>
      <c r="B133" s="3" t="s">
        <v>157</v>
      </c>
      <c r="C133" s="11" t="s">
        <v>243</v>
      </c>
      <c r="D133" s="12">
        <v>15.719999999999999</v>
      </c>
      <c r="E133" s="1">
        <v>6</v>
      </c>
      <c r="F133" s="13">
        <f>InputData[[#This Row],[QUANTITY]]*InputData[[#This Row],[UNIT PRICE (R)]]</f>
        <v>94.32</v>
      </c>
      <c r="G133" s="1" t="str">
        <f>VLOOKUP(InputData[[#This Row],[CUSTOMER NAME]],Country[],2,0)</f>
        <v>Brazil</v>
      </c>
      <c r="H133" s="1" t="str">
        <f>VLOOKUP(InputData[[#This Row],[CUSTOMER NAME]],Country[],3,0)</f>
        <v>Export</v>
      </c>
      <c r="I133" s="1" t="str">
        <f>TEXT(InputData[[#This Row],[DATE]],"mmmm")</f>
        <v>February</v>
      </c>
      <c r="J133" s="1" t="str">
        <f>TEXT(InputData[[#This Row],[DATE]],"ddd")</f>
        <v>Thu</v>
      </c>
      <c r="K133" s="14">
        <f>WEEKNUM(InputData[[#This Row],[DATE]])</f>
        <v>8</v>
      </c>
      <c r="N133"/>
      <c r="R133" s="3" t="s">
        <v>71</v>
      </c>
      <c r="S133" s="1" t="str">
        <f t="shared" si="2"/>
        <v>Blackfriars Supply</v>
      </c>
      <c r="V133"/>
      <c r="Z133" s="11" t="s">
        <v>44</v>
      </c>
      <c r="AA133" s="1" t="str">
        <f t="shared" si="3"/>
        <v>Brass Elbow Joint 20mm</v>
      </c>
      <c r="AF133"/>
    </row>
    <row r="134" spans="1:32" x14ac:dyDescent="0.3">
      <c r="A134" s="10">
        <v>44246</v>
      </c>
      <c r="B134" s="3" t="s">
        <v>175</v>
      </c>
      <c r="C134" s="11" t="s">
        <v>230</v>
      </c>
      <c r="D134" s="12">
        <v>142.80000000000001</v>
      </c>
      <c r="E134" s="1">
        <v>13</v>
      </c>
      <c r="F134" s="13">
        <f>InputData[[#This Row],[QUANTITY]]*InputData[[#This Row],[UNIT PRICE (R)]]</f>
        <v>1856.4</v>
      </c>
      <c r="G134" s="1" t="str">
        <f>VLOOKUP(InputData[[#This Row],[CUSTOMER NAME]],Country[],2,0)</f>
        <v>India</v>
      </c>
      <c r="H134" s="1" t="str">
        <f>VLOOKUP(InputData[[#This Row],[CUSTOMER NAME]],Country[],3,0)</f>
        <v>Western</v>
      </c>
      <c r="I134" s="1" t="str">
        <f>TEXT(InputData[[#This Row],[DATE]],"mmmm")</f>
        <v>February</v>
      </c>
      <c r="J134" s="1" t="str">
        <f>TEXT(InputData[[#This Row],[DATE]],"ddd")</f>
        <v>Fri</v>
      </c>
      <c r="K134" s="14">
        <f>WEEKNUM(InputData[[#This Row],[DATE]])</f>
        <v>8</v>
      </c>
      <c r="N134"/>
      <c r="R134" s="3" t="s">
        <v>62</v>
      </c>
      <c r="S134" s="1" t="str">
        <f t="shared" si="2"/>
        <v>Marchbank Traders</v>
      </c>
      <c r="V134"/>
      <c r="Z134" s="11" t="s">
        <v>15</v>
      </c>
      <c r="AA134" s="1" t="str">
        <f t="shared" si="3"/>
        <v>Rivet 4mm</v>
      </c>
      <c r="AF134"/>
    </row>
    <row r="135" spans="1:32" x14ac:dyDescent="0.3">
      <c r="A135" s="10">
        <v>44247</v>
      </c>
      <c r="B135" s="3" t="s">
        <v>164</v>
      </c>
      <c r="C135" s="11" t="s">
        <v>240</v>
      </c>
      <c r="D135" s="12">
        <v>94.17</v>
      </c>
      <c r="E135" s="1">
        <v>6</v>
      </c>
      <c r="F135" s="13">
        <f>InputData[[#This Row],[QUANTITY]]*InputData[[#This Row],[UNIT PRICE (R)]]</f>
        <v>565.02</v>
      </c>
      <c r="G135" s="1" t="str">
        <f>VLOOKUP(InputData[[#This Row],[CUSTOMER NAME]],Country[],2,0)</f>
        <v>India</v>
      </c>
      <c r="H135" s="1" t="str">
        <f>VLOOKUP(InputData[[#This Row],[CUSTOMER NAME]],Country[],3,0)</f>
        <v>East</v>
      </c>
      <c r="I135" s="1" t="str">
        <f>TEXT(InputData[[#This Row],[DATE]],"mmmm")</f>
        <v>February</v>
      </c>
      <c r="J135" s="1" t="str">
        <f>TEXT(InputData[[#This Row],[DATE]],"ddd")</f>
        <v>Sat</v>
      </c>
      <c r="K135" s="14">
        <f>WEEKNUM(InputData[[#This Row],[DATE]])</f>
        <v>8</v>
      </c>
      <c r="N135"/>
      <c r="R135" s="3" t="s">
        <v>97</v>
      </c>
      <c r="S135" s="1" t="str">
        <f t="shared" ref="S135:S198" si="4">_xlfn.XLOOKUP(R135,$N$5:$N$64,$O$5:$O$64,"Not Found")</f>
        <v>Stonebridge Commercial</v>
      </c>
      <c r="V135"/>
      <c r="Z135" s="11" t="s">
        <v>2</v>
      </c>
      <c r="AA135" s="1" t="str">
        <f t="shared" ref="AA135:AA198" si="5">_xlfn.XLOOKUP(Z135,$V$5:$V$48,$W$5:$W$48,"Not Found",0)</f>
        <v>Hex Bolt M10</v>
      </c>
      <c r="AF135"/>
    </row>
    <row r="136" spans="1:32" x14ac:dyDescent="0.3">
      <c r="A136" s="10">
        <v>44247</v>
      </c>
      <c r="B136" s="3" t="s">
        <v>178</v>
      </c>
      <c r="C136" s="11" t="s">
        <v>258</v>
      </c>
      <c r="D136" s="12">
        <v>201.28</v>
      </c>
      <c r="E136" s="1">
        <v>11</v>
      </c>
      <c r="F136" s="13">
        <f>InputData[[#This Row],[QUANTITY]]*InputData[[#This Row],[UNIT PRICE (R)]]</f>
        <v>2214.08</v>
      </c>
      <c r="G136" s="1" t="str">
        <f>VLOOKUP(InputData[[#This Row],[CUSTOMER NAME]],Country[],2,0)</f>
        <v>Pakistan</v>
      </c>
      <c r="H136" s="1" t="str">
        <f>VLOOKUP(InputData[[#This Row],[CUSTOMER NAME]],Country[],3,0)</f>
        <v>Export</v>
      </c>
      <c r="I136" s="1" t="str">
        <f>TEXT(InputData[[#This Row],[DATE]],"mmmm")</f>
        <v>February</v>
      </c>
      <c r="J136" s="1" t="str">
        <f>TEXT(InputData[[#This Row],[DATE]],"ddd")</f>
        <v>Sat</v>
      </c>
      <c r="K136" s="14">
        <f>WEEKNUM(InputData[[#This Row],[DATE]])</f>
        <v>8</v>
      </c>
      <c r="N136"/>
      <c r="R136" s="3" t="s">
        <v>69</v>
      </c>
      <c r="S136" s="1" t="str">
        <f t="shared" si="4"/>
        <v>Southcote Industries</v>
      </c>
      <c r="V136"/>
      <c r="Z136" s="11" t="s">
        <v>12</v>
      </c>
      <c r="AA136" s="1" t="str">
        <f t="shared" si="5"/>
        <v>Drywall Screw 30mm</v>
      </c>
      <c r="AF136"/>
    </row>
    <row r="137" spans="1:32" x14ac:dyDescent="0.3">
      <c r="A137" s="10">
        <v>44248</v>
      </c>
      <c r="B137" s="3" t="s">
        <v>146</v>
      </c>
      <c r="C137" s="11" t="s">
        <v>246</v>
      </c>
      <c r="D137" s="12">
        <v>49.21</v>
      </c>
      <c r="E137" s="1">
        <v>30</v>
      </c>
      <c r="F137" s="13">
        <f>InputData[[#This Row],[QUANTITY]]*InputData[[#This Row],[UNIT PRICE (R)]]</f>
        <v>1476.3</v>
      </c>
      <c r="G137" s="1" t="str">
        <f>VLOOKUP(InputData[[#This Row],[CUSTOMER NAME]],Country[],2,0)</f>
        <v>Saudi Arabia</v>
      </c>
      <c r="H137" s="1" t="str">
        <f>VLOOKUP(InputData[[#This Row],[CUSTOMER NAME]],Country[],3,0)</f>
        <v>Export</v>
      </c>
      <c r="I137" s="1" t="str">
        <f>TEXT(InputData[[#This Row],[DATE]],"mmmm")</f>
        <v>February</v>
      </c>
      <c r="J137" s="1" t="str">
        <f>TEXT(InputData[[#This Row],[DATE]],"ddd")</f>
        <v>Sun</v>
      </c>
      <c r="K137" s="14">
        <f>WEEKNUM(InputData[[#This Row],[DATE]])</f>
        <v>9</v>
      </c>
      <c r="N137"/>
      <c r="R137" s="3" t="s">
        <v>100</v>
      </c>
      <c r="S137" s="1" t="str">
        <f t="shared" si="4"/>
        <v>Pemberton &amp; Associates</v>
      </c>
      <c r="V137"/>
      <c r="Z137" s="11" t="s">
        <v>30</v>
      </c>
      <c r="AA137" s="1" t="str">
        <f t="shared" si="5"/>
        <v>Door Latch Set</v>
      </c>
      <c r="AF137"/>
    </row>
    <row r="138" spans="1:32" x14ac:dyDescent="0.3">
      <c r="A138" s="10">
        <v>44249</v>
      </c>
      <c r="B138" s="3" t="s">
        <v>162</v>
      </c>
      <c r="C138" s="11" t="s">
        <v>241</v>
      </c>
      <c r="D138" s="12">
        <v>122.08</v>
      </c>
      <c r="E138" s="1">
        <v>5</v>
      </c>
      <c r="F138" s="13">
        <f>InputData[[#This Row],[QUANTITY]]*InputData[[#This Row],[UNIT PRICE (R)]]</f>
        <v>610.4</v>
      </c>
      <c r="G138" s="1" t="str">
        <f>VLOOKUP(InputData[[#This Row],[CUSTOMER NAME]],Country[],2,0)</f>
        <v>United Kingdom</v>
      </c>
      <c r="H138" s="1" t="str">
        <f>VLOOKUP(InputData[[#This Row],[CUSTOMER NAME]],Country[],3,0)</f>
        <v>Export</v>
      </c>
      <c r="I138" s="1" t="str">
        <f>TEXT(InputData[[#This Row],[DATE]],"mmmm")</f>
        <v>February</v>
      </c>
      <c r="J138" s="1" t="str">
        <f>TEXT(InputData[[#This Row],[DATE]],"ddd")</f>
        <v>Mon</v>
      </c>
      <c r="K138" s="14">
        <f>WEEKNUM(InputData[[#This Row],[DATE]])</f>
        <v>9</v>
      </c>
      <c r="N138"/>
      <c r="R138" s="3" t="s">
        <v>51</v>
      </c>
      <c r="S138" s="1" t="str">
        <f t="shared" si="4"/>
        <v>Coastal Fittings Ltd</v>
      </c>
      <c r="V138"/>
      <c r="Z138" s="11" t="s">
        <v>18</v>
      </c>
      <c r="AA138" s="1" t="str">
        <f t="shared" si="5"/>
        <v>Split Pin 5mm</v>
      </c>
      <c r="AF138"/>
    </row>
    <row r="139" spans="1:32" x14ac:dyDescent="0.3">
      <c r="A139" s="10">
        <v>44250</v>
      </c>
      <c r="B139" s="3" t="s">
        <v>143</v>
      </c>
      <c r="C139" s="11" t="s">
        <v>241</v>
      </c>
      <c r="D139" s="12">
        <v>122.08</v>
      </c>
      <c r="E139" s="1">
        <v>6</v>
      </c>
      <c r="F139" s="13">
        <f>InputData[[#This Row],[QUANTITY]]*InputData[[#This Row],[UNIT PRICE (R)]]</f>
        <v>732.48</v>
      </c>
      <c r="G139" s="1" t="str">
        <f>VLOOKUP(InputData[[#This Row],[CUSTOMER NAME]],Country[],2,0)</f>
        <v>Nigeria</v>
      </c>
      <c r="H139" s="1" t="str">
        <f>VLOOKUP(InputData[[#This Row],[CUSTOMER NAME]],Country[],3,0)</f>
        <v>Export</v>
      </c>
      <c r="I139" s="1" t="str">
        <f>TEXT(InputData[[#This Row],[DATE]],"mmmm")</f>
        <v>February</v>
      </c>
      <c r="J139" s="1" t="str">
        <f>TEXT(InputData[[#This Row],[DATE]],"ddd")</f>
        <v>Tue</v>
      </c>
      <c r="K139" s="14">
        <f>WEEKNUM(InputData[[#This Row],[DATE]])</f>
        <v>9</v>
      </c>
      <c r="N139"/>
      <c r="R139" s="3" t="s">
        <v>67</v>
      </c>
      <c r="S139" s="1" t="str">
        <f t="shared" si="4"/>
        <v>Ironbridge Trading Co.</v>
      </c>
      <c r="V139"/>
      <c r="Z139" s="11" t="s">
        <v>13</v>
      </c>
      <c r="AA139" s="1" t="str">
        <f t="shared" si="5"/>
        <v>Machine Screw M4</v>
      </c>
      <c r="AF139"/>
    </row>
    <row r="140" spans="1:32" x14ac:dyDescent="0.3">
      <c r="A140" s="10">
        <v>44250</v>
      </c>
      <c r="B140" s="3" t="s">
        <v>151</v>
      </c>
      <c r="C140" s="11" t="s">
        <v>253</v>
      </c>
      <c r="D140" s="12">
        <v>8.33</v>
      </c>
      <c r="E140" s="1">
        <v>3</v>
      </c>
      <c r="F140" s="13">
        <f>InputData[[#This Row],[QUANTITY]]*InputData[[#This Row],[UNIT PRICE (R)]]</f>
        <v>24.990000000000002</v>
      </c>
      <c r="G140" s="1" t="str">
        <f>VLOOKUP(InputData[[#This Row],[CUSTOMER NAME]],Country[],2,0)</f>
        <v>Russia</v>
      </c>
      <c r="H140" s="1" t="str">
        <f>VLOOKUP(InputData[[#This Row],[CUSTOMER NAME]],Country[],3,0)</f>
        <v>Export</v>
      </c>
      <c r="I140" s="1" t="str">
        <f>TEXT(InputData[[#This Row],[DATE]],"mmmm")</f>
        <v>February</v>
      </c>
      <c r="J140" s="1" t="str">
        <f>TEXT(InputData[[#This Row],[DATE]],"ddd")</f>
        <v>Tue</v>
      </c>
      <c r="K140" s="14">
        <f>WEEKNUM(InputData[[#This Row],[DATE]])</f>
        <v>9</v>
      </c>
      <c r="N140"/>
      <c r="R140" s="3" t="s">
        <v>48</v>
      </c>
      <c r="S140" s="1" t="str">
        <f t="shared" si="4"/>
        <v>Thornwell Trading</v>
      </c>
      <c r="V140"/>
      <c r="Z140" s="11" t="s">
        <v>13</v>
      </c>
      <c r="AA140" s="1" t="str">
        <f t="shared" si="5"/>
        <v>Machine Screw M4</v>
      </c>
      <c r="AF140"/>
    </row>
    <row r="141" spans="1:32" x14ac:dyDescent="0.3">
      <c r="A141" s="10">
        <v>44250</v>
      </c>
      <c r="B141" s="3" t="s">
        <v>177</v>
      </c>
      <c r="C141" s="11" t="s">
        <v>244</v>
      </c>
      <c r="D141" s="12">
        <v>16.64</v>
      </c>
      <c r="E141" s="1">
        <v>15</v>
      </c>
      <c r="F141" s="13">
        <f>InputData[[#This Row],[QUANTITY]]*InputData[[#This Row],[UNIT PRICE (R)]]</f>
        <v>249.60000000000002</v>
      </c>
      <c r="G141" s="1" t="str">
        <f>VLOOKUP(InputData[[#This Row],[CUSTOMER NAME]],Country[],2,0)</f>
        <v>India</v>
      </c>
      <c r="H141" s="1" t="str">
        <f>VLOOKUP(InputData[[#This Row],[CUSTOMER NAME]],Country[],3,0)</f>
        <v>North</v>
      </c>
      <c r="I141" s="1" t="str">
        <f>TEXT(InputData[[#This Row],[DATE]],"mmmm")</f>
        <v>February</v>
      </c>
      <c r="J141" s="1" t="str">
        <f>TEXT(InputData[[#This Row],[DATE]],"ddd")</f>
        <v>Tue</v>
      </c>
      <c r="K141" s="14">
        <f>WEEKNUM(InputData[[#This Row],[DATE]])</f>
        <v>9</v>
      </c>
      <c r="N141"/>
      <c r="R141" s="3" t="s">
        <v>56</v>
      </c>
      <c r="S141" s="1" t="str">
        <f t="shared" si="4"/>
        <v>Northgate Industries</v>
      </c>
      <c r="V141"/>
      <c r="Z141" s="11" t="s">
        <v>25</v>
      </c>
      <c r="AA141" s="1" t="str">
        <f t="shared" si="5"/>
        <v>Turnbuckle M8</v>
      </c>
      <c r="AF141"/>
    </row>
    <row r="142" spans="1:32" x14ac:dyDescent="0.3">
      <c r="A142" s="10">
        <v>44250</v>
      </c>
      <c r="B142" s="3" t="s">
        <v>156</v>
      </c>
      <c r="C142" s="11" t="s">
        <v>233</v>
      </c>
      <c r="D142" s="12">
        <v>155.61000000000001</v>
      </c>
      <c r="E142" s="1">
        <v>2</v>
      </c>
      <c r="F142" s="13">
        <f>InputData[[#This Row],[QUANTITY]]*InputData[[#This Row],[UNIT PRICE (R)]]</f>
        <v>311.22000000000003</v>
      </c>
      <c r="G142" s="1" t="str">
        <f>VLOOKUP(InputData[[#This Row],[CUSTOMER NAME]],Country[],2,0)</f>
        <v>India</v>
      </c>
      <c r="H142" s="1" t="str">
        <f>VLOOKUP(InputData[[#This Row],[CUSTOMER NAME]],Country[],3,0)</f>
        <v>East</v>
      </c>
      <c r="I142" s="1" t="str">
        <f>TEXT(InputData[[#This Row],[DATE]],"mmmm")</f>
        <v>February</v>
      </c>
      <c r="J142" s="1" t="str">
        <f>TEXT(InputData[[#This Row],[DATE]],"ddd")</f>
        <v>Tue</v>
      </c>
      <c r="K142" s="14">
        <f>WEEKNUM(InputData[[#This Row],[DATE]])</f>
        <v>9</v>
      </c>
      <c r="N142"/>
      <c r="R142" s="3" t="s">
        <v>99</v>
      </c>
      <c r="S142" s="1" t="str">
        <f t="shared" si="4"/>
        <v>Northfield Traders</v>
      </c>
      <c r="V142"/>
      <c r="Z142" s="11" t="s">
        <v>16</v>
      </c>
      <c r="AA142" s="1" t="str">
        <f t="shared" si="5"/>
        <v>Blind Rivet 6mm</v>
      </c>
      <c r="AF142"/>
    </row>
    <row r="143" spans="1:32" x14ac:dyDescent="0.3">
      <c r="A143" s="10">
        <v>44250</v>
      </c>
      <c r="B143" s="3" t="s">
        <v>178</v>
      </c>
      <c r="C143" s="11" t="s">
        <v>264</v>
      </c>
      <c r="D143" s="12">
        <v>96.3</v>
      </c>
      <c r="E143" s="1">
        <v>8</v>
      </c>
      <c r="F143" s="13">
        <f>InputData[[#This Row],[QUANTITY]]*InputData[[#This Row],[UNIT PRICE (R)]]</f>
        <v>770.4</v>
      </c>
      <c r="G143" s="1" t="str">
        <f>VLOOKUP(InputData[[#This Row],[CUSTOMER NAME]],Country[],2,0)</f>
        <v>Pakistan</v>
      </c>
      <c r="H143" s="1" t="str">
        <f>VLOOKUP(InputData[[#This Row],[CUSTOMER NAME]],Country[],3,0)</f>
        <v>Export</v>
      </c>
      <c r="I143" s="1" t="str">
        <f>TEXT(InputData[[#This Row],[DATE]],"mmmm")</f>
        <v>February</v>
      </c>
      <c r="J143" s="1" t="str">
        <f>TEXT(InputData[[#This Row],[DATE]],"ddd")</f>
        <v>Tue</v>
      </c>
      <c r="K143" s="14">
        <f>WEEKNUM(InputData[[#This Row],[DATE]])</f>
        <v>9</v>
      </c>
      <c r="N143"/>
      <c r="R143" s="3" t="s">
        <v>61</v>
      </c>
      <c r="S143" s="1" t="str">
        <f t="shared" si="4"/>
        <v>Fairstone Retail Group</v>
      </c>
      <c r="V143"/>
      <c r="Z143" s="11" t="s">
        <v>5</v>
      </c>
      <c r="AA143" s="1" t="str">
        <f t="shared" si="5"/>
        <v>Wing Nut M6</v>
      </c>
      <c r="AF143"/>
    </row>
    <row r="144" spans="1:32" x14ac:dyDescent="0.3">
      <c r="A144" s="10">
        <v>44252</v>
      </c>
      <c r="B144" s="3" t="s">
        <v>156</v>
      </c>
      <c r="C144" s="11" t="s">
        <v>241</v>
      </c>
      <c r="D144" s="12">
        <v>122.08</v>
      </c>
      <c r="E144" s="1">
        <v>10</v>
      </c>
      <c r="F144" s="13">
        <f>InputData[[#This Row],[QUANTITY]]*InputData[[#This Row],[UNIT PRICE (R)]]</f>
        <v>1220.8</v>
      </c>
      <c r="G144" s="1" t="str">
        <f>VLOOKUP(InputData[[#This Row],[CUSTOMER NAME]],Country[],2,0)</f>
        <v>India</v>
      </c>
      <c r="H144" s="1" t="str">
        <f>VLOOKUP(InputData[[#This Row],[CUSTOMER NAME]],Country[],3,0)</f>
        <v>East</v>
      </c>
      <c r="I144" s="1" t="str">
        <f>TEXT(InputData[[#This Row],[DATE]],"mmmm")</f>
        <v>February</v>
      </c>
      <c r="J144" s="1" t="str">
        <f>TEXT(InputData[[#This Row],[DATE]],"ddd")</f>
        <v>Thu</v>
      </c>
      <c r="K144" s="14">
        <f>WEEKNUM(InputData[[#This Row],[DATE]])</f>
        <v>9</v>
      </c>
      <c r="N144"/>
      <c r="R144" s="3" t="s">
        <v>100</v>
      </c>
      <c r="S144" s="1" t="str">
        <f t="shared" si="4"/>
        <v>Pemberton &amp; Associates</v>
      </c>
      <c r="V144"/>
      <c r="Z144" s="11" t="s">
        <v>36</v>
      </c>
      <c r="AA144" s="1" t="str">
        <f t="shared" si="5"/>
        <v>Mending Plate 100mm</v>
      </c>
      <c r="AF144"/>
    </row>
    <row r="145" spans="1:32" x14ac:dyDescent="0.3">
      <c r="A145" s="10">
        <v>44252</v>
      </c>
      <c r="B145" s="3" t="s">
        <v>164</v>
      </c>
      <c r="C145" s="11" t="s">
        <v>267</v>
      </c>
      <c r="D145" s="12">
        <v>42.55</v>
      </c>
      <c r="E145" s="1">
        <v>38</v>
      </c>
      <c r="F145" s="13">
        <f>InputData[[#This Row],[QUANTITY]]*InputData[[#This Row],[UNIT PRICE (R)]]</f>
        <v>1616.8999999999999</v>
      </c>
      <c r="G145" s="1" t="str">
        <f>VLOOKUP(InputData[[#This Row],[CUSTOMER NAME]],Country[],2,0)</f>
        <v>India</v>
      </c>
      <c r="H145" s="1" t="str">
        <f>VLOOKUP(InputData[[#This Row],[CUSTOMER NAME]],Country[],3,0)</f>
        <v>East</v>
      </c>
      <c r="I145" s="1" t="str">
        <f>TEXT(InputData[[#This Row],[DATE]],"mmmm")</f>
        <v>February</v>
      </c>
      <c r="J145" s="1" t="str">
        <f>TEXT(InputData[[#This Row],[DATE]],"ddd")</f>
        <v>Thu</v>
      </c>
      <c r="K145" s="14">
        <f>WEEKNUM(InputData[[#This Row],[DATE]])</f>
        <v>9</v>
      </c>
      <c r="N145"/>
      <c r="R145" s="3" t="s">
        <v>61</v>
      </c>
      <c r="S145" s="1" t="str">
        <f t="shared" si="4"/>
        <v>Fairstone Retail Group</v>
      </c>
      <c r="V145"/>
      <c r="Z145" s="11" t="s">
        <v>13</v>
      </c>
      <c r="AA145" s="1" t="str">
        <f t="shared" si="5"/>
        <v>Machine Screw M4</v>
      </c>
      <c r="AF145"/>
    </row>
    <row r="146" spans="1:32" x14ac:dyDescent="0.3">
      <c r="A146" s="10">
        <v>44252</v>
      </c>
      <c r="B146" s="3" t="s">
        <v>167</v>
      </c>
      <c r="C146" s="11" t="s">
        <v>260</v>
      </c>
      <c r="D146" s="12">
        <v>117.48</v>
      </c>
      <c r="E146" s="1">
        <v>11</v>
      </c>
      <c r="F146" s="13">
        <f>InputData[[#This Row],[QUANTITY]]*InputData[[#This Row],[UNIT PRICE (R)]]</f>
        <v>1292.28</v>
      </c>
      <c r="G146" s="1" t="str">
        <f>VLOOKUP(InputData[[#This Row],[CUSTOMER NAME]],Country[],2,0)</f>
        <v>Ethiopia</v>
      </c>
      <c r="H146" s="1" t="str">
        <f>VLOOKUP(InputData[[#This Row],[CUSTOMER NAME]],Country[],3,0)</f>
        <v>Export</v>
      </c>
      <c r="I146" s="1" t="str">
        <f>TEXT(InputData[[#This Row],[DATE]],"mmmm")</f>
        <v>February</v>
      </c>
      <c r="J146" s="1" t="str">
        <f>TEXT(InputData[[#This Row],[DATE]],"ddd")</f>
        <v>Thu</v>
      </c>
      <c r="K146" s="14">
        <f>WEEKNUM(InputData[[#This Row],[DATE]])</f>
        <v>9</v>
      </c>
      <c r="N146"/>
      <c r="R146" s="3" t="s">
        <v>69</v>
      </c>
      <c r="S146" s="1" t="str">
        <f t="shared" si="4"/>
        <v>Southcote Industries</v>
      </c>
      <c r="V146"/>
      <c r="Z146" s="11" t="s">
        <v>39</v>
      </c>
      <c r="AA146" s="1" t="str">
        <f t="shared" si="5"/>
        <v>Cable Clip 20mm</v>
      </c>
      <c r="AF146"/>
    </row>
    <row r="147" spans="1:32" x14ac:dyDescent="0.3">
      <c r="A147" s="10">
        <v>44252</v>
      </c>
      <c r="B147" s="3" t="s">
        <v>169</v>
      </c>
      <c r="C147" s="11" t="s">
        <v>258</v>
      </c>
      <c r="D147" s="12">
        <v>201.28</v>
      </c>
      <c r="E147" s="1">
        <v>2</v>
      </c>
      <c r="F147" s="13">
        <f>InputData[[#This Row],[QUANTITY]]*InputData[[#This Row],[UNIT PRICE (R)]]</f>
        <v>402.56</v>
      </c>
      <c r="G147" s="1" t="str">
        <f>VLOOKUP(InputData[[#This Row],[CUSTOMER NAME]],Country[],2,0)</f>
        <v>India</v>
      </c>
      <c r="H147" s="1" t="str">
        <f>VLOOKUP(InputData[[#This Row],[CUSTOMER NAME]],Country[],3,0)</f>
        <v>South</v>
      </c>
      <c r="I147" s="1" t="str">
        <f>TEXT(InputData[[#This Row],[DATE]],"mmmm")</f>
        <v>February</v>
      </c>
      <c r="J147" s="1" t="str">
        <f>TEXT(InputData[[#This Row],[DATE]],"ddd")</f>
        <v>Thu</v>
      </c>
      <c r="K147" s="14">
        <f>WEEKNUM(InputData[[#This Row],[DATE]])</f>
        <v>9</v>
      </c>
      <c r="N147"/>
      <c r="R147" s="3" t="s">
        <v>72</v>
      </c>
      <c r="S147" s="1" t="str">
        <f t="shared" si="4"/>
        <v>Hendricks Mercantile</v>
      </c>
      <c r="V147"/>
      <c r="Z147" s="11" t="s">
        <v>32</v>
      </c>
      <c r="AA147" s="1" t="str">
        <f t="shared" si="5"/>
        <v>Corner Bracket 50mm</v>
      </c>
      <c r="AF147"/>
    </row>
    <row r="148" spans="1:32" x14ac:dyDescent="0.3">
      <c r="A148" s="10">
        <v>44252</v>
      </c>
      <c r="B148" s="3" t="s">
        <v>171</v>
      </c>
      <c r="C148" s="11" t="s">
        <v>230</v>
      </c>
      <c r="D148" s="12">
        <v>142.80000000000001</v>
      </c>
      <c r="E148" s="1">
        <v>4</v>
      </c>
      <c r="F148" s="13">
        <f>InputData[[#This Row],[QUANTITY]]*InputData[[#This Row],[UNIT PRICE (R)]]</f>
        <v>571.20000000000005</v>
      </c>
      <c r="G148" s="1" t="str">
        <f>VLOOKUP(InputData[[#This Row],[CUSTOMER NAME]],Country[],2,0)</f>
        <v>India</v>
      </c>
      <c r="H148" s="1" t="str">
        <f>VLOOKUP(InputData[[#This Row],[CUSTOMER NAME]],Country[],3,0)</f>
        <v>South</v>
      </c>
      <c r="I148" s="1" t="str">
        <f>TEXT(InputData[[#This Row],[DATE]],"mmmm")</f>
        <v>February</v>
      </c>
      <c r="J148" s="1" t="str">
        <f>TEXT(InputData[[#This Row],[DATE]],"ddd")</f>
        <v>Thu</v>
      </c>
      <c r="K148" s="14">
        <f>WEEKNUM(InputData[[#This Row],[DATE]])</f>
        <v>9</v>
      </c>
      <c r="N148"/>
      <c r="R148" s="3" t="s">
        <v>74</v>
      </c>
      <c r="S148" s="1" t="str">
        <f t="shared" si="4"/>
        <v>Millbrook Distribution</v>
      </c>
      <c r="V148"/>
      <c r="Z148" s="11" t="s">
        <v>30</v>
      </c>
      <c r="AA148" s="1" t="str">
        <f t="shared" si="5"/>
        <v>Door Latch Set</v>
      </c>
      <c r="AF148"/>
    </row>
    <row r="149" spans="1:32" x14ac:dyDescent="0.3">
      <c r="A149" s="10">
        <v>44253</v>
      </c>
      <c r="B149" s="3" t="s">
        <v>157</v>
      </c>
      <c r="C149" s="11" t="s">
        <v>252</v>
      </c>
      <c r="D149" s="12">
        <v>156.96</v>
      </c>
      <c r="E149" s="1">
        <v>28</v>
      </c>
      <c r="F149" s="13">
        <f>InputData[[#This Row],[QUANTITY]]*InputData[[#This Row],[UNIT PRICE (R)]]</f>
        <v>4394.88</v>
      </c>
      <c r="G149" s="1" t="str">
        <f>VLOOKUP(InputData[[#This Row],[CUSTOMER NAME]],Country[],2,0)</f>
        <v>Brazil</v>
      </c>
      <c r="H149" s="1" t="str">
        <f>VLOOKUP(InputData[[#This Row],[CUSTOMER NAME]],Country[],3,0)</f>
        <v>Export</v>
      </c>
      <c r="I149" s="1" t="str">
        <f>TEXT(InputData[[#This Row],[DATE]],"mmmm")</f>
        <v>February</v>
      </c>
      <c r="J149" s="1" t="str">
        <f>TEXT(InputData[[#This Row],[DATE]],"ddd")</f>
        <v>Fri</v>
      </c>
      <c r="K149" s="14">
        <f>WEEKNUM(InputData[[#This Row],[DATE]])</f>
        <v>9</v>
      </c>
      <c r="N149"/>
      <c r="R149" s="3" t="s">
        <v>76</v>
      </c>
      <c r="S149" s="1" t="str">
        <f t="shared" si="4"/>
        <v>Overton Retail Solutions</v>
      </c>
      <c r="V149"/>
      <c r="Z149" s="11" t="s">
        <v>2</v>
      </c>
      <c r="AA149" s="1" t="str">
        <f t="shared" si="5"/>
        <v>Hex Bolt M10</v>
      </c>
      <c r="AF149"/>
    </row>
    <row r="150" spans="1:32" x14ac:dyDescent="0.3">
      <c r="A150" s="10">
        <v>44253</v>
      </c>
      <c r="B150" s="3" t="s">
        <v>162</v>
      </c>
      <c r="C150" s="11" t="s">
        <v>237</v>
      </c>
      <c r="D150" s="12">
        <v>7.8599999999999994</v>
      </c>
      <c r="E150" s="1">
        <v>2</v>
      </c>
      <c r="F150" s="13">
        <f>InputData[[#This Row],[QUANTITY]]*InputData[[#This Row],[UNIT PRICE (R)]]</f>
        <v>15.719999999999999</v>
      </c>
      <c r="G150" s="1" t="str">
        <f>VLOOKUP(InputData[[#This Row],[CUSTOMER NAME]],Country[],2,0)</f>
        <v>United Kingdom</v>
      </c>
      <c r="H150" s="1" t="str">
        <f>VLOOKUP(InputData[[#This Row],[CUSTOMER NAME]],Country[],3,0)</f>
        <v>Export</v>
      </c>
      <c r="I150" s="1" t="str">
        <f>TEXT(InputData[[#This Row],[DATE]],"mmmm")</f>
        <v>February</v>
      </c>
      <c r="J150" s="1" t="str">
        <f>TEXT(InputData[[#This Row],[DATE]],"ddd")</f>
        <v>Fri</v>
      </c>
      <c r="K150" s="14">
        <f>WEEKNUM(InputData[[#This Row],[DATE]])</f>
        <v>9</v>
      </c>
      <c r="N150"/>
      <c r="R150" s="3" t="s">
        <v>62</v>
      </c>
      <c r="S150" s="1" t="str">
        <f t="shared" si="4"/>
        <v>Marchbank Traders</v>
      </c>
      <c r="V150"/>
      <c r="Z150" s="11" t="s">
        <v>24</v>
      </c>
      <c r="AA150" s="1" t="str">
        <f t="shared" si="5"/>
        <v>Eye Bolt M10</v>
      </c>
      <c r="AF150"/>
    </row>
    <row r="151" spans="1:32" x14ac:dyDescent="0.3">
      <c r="A151" s="10">
        <v>44254</v>
      </c>
      <c r="B151" s="3" t="s">
        <v>154</v>
      </c>
      <c r="C151" s="11" t="s">
        <v>253</v>
      </c>
      <c r="D151" s="12">
        <v>8.33</v>
      </c>
      <c r="E151" s="1">
        <v>7</v>
      </c>
      <c r="F151" s="13">
        <f>InputData[[#This Row],[QUANTITY]]*InputData[[#This Row],[UNIT PRICE (R)]]</f>
        <v>58.31</v>
      </c>
      <c r="G151" s="1" t="str">
        <f>VLOOKUP(InputData[[#This Row],[CUSTOMER NAME]],Country[],2,0)</f>
        <v>India</v>
      </c>
      <c r="H151" s="1" t="str">
        <f>VLOOKUP(InputData[[#This Row],[CUSTOMER NAME]],Country[],3,0)</f>
        <v>Central</v>
      </c>
      <c r="I151" s="1" t="str">
        <f>TEXT(InputData[[#This Row],[DATE]],"mmmm")</f>
        <v>February</v>
      </c>
      <c r="J151" s="1" t="str">
        <f>TEXT(InputData[[#This Row],[DATE]],"ddd")</f>
        <v>Sat</v>
      </c>
      <c r="K151" s="14">
        <f>WEEKNUM(InputData[[#This Row],[DATE]])</f>
        <v>9</v>
      </c>
      <c r="N151"/>
      <c r="R151" s="3" t="s">
        <v>67</v>
      </c>
      <c r="S151" s="1" t="str">
        <f t="shared" si="4"/>
        <v>Ironbridge Trading Co.</v>
      </c>
      <c r="V151"/>
      <c r="Z151" s="11" t="s">
        <v>9</v>
      </c>
      <c r="AA151" s="1" t="str">
        <f t="shared" si="5"/>
        <v>Threaded Rod M12</v>
      </c>
      <c r="AF151"/>
    </row>
    <row r="152" spans="1:32" x14ac:dyDescent="0.3">
      <c r="A152" s="10">
        <v>44254</v>
      </c>
      <c r="B152" s="3" t="s">
        <v>177</v>
      </c>
      <c r="C152" s="11" t="s">
        <v>264</v>
      </c>
      <c r="D152" s="12">
        <v>96.3</v>
      </c>
      <c r="E152" s="1">
        <v>3</v>
      </c>
      <c r="F152" s="13">
        <f>InputData[[#This Row],[QUANTITY]]*InputData[[#This Row],[UNIT PRICE (R)]]</f>
        <v>288.89999999999998</v>
      </c>
      <c r="G152" s="1" t="str">
        <f>VLOOKUP(InputData[[#This Row],[CUSTOMER NAME]],Country[],2,0)</f>
        <v>India</v>
      </c>
      <c r="H152" s="1" t="str">
        <f>VLOOKUP(InputData[[#This Row],[CUSTOMER NAME]],Country[],3,0)</f>
        <v>North</v>
      </c>
      <c r="I152" s="1" t="str">
        <f>TEXT(InputData[[#This Row],[DATE]],"mmmm")</f>
        <v>February</v>
      </c>
      <c r="J152" s="1" t="str">
        <f>TEXT(InputData[[#This Row],[DATE]],"ddd")</f>
        <v>Sat</v>
      </c>
      <c r="K152" s="14">
        <f>WEEKNUM(InputData[[#This Row],[DATE]])</f>
        <v>9</v>
      </c>
      <c r="N152"/>
      <c r="R152" s="3" t="s">
        <v>59</v>
      </c>
      <c r="S152" s="1" t="str">
        <f t="shared" si="4"/>
        <v>Bellview Enterprises</v>
      </c>
      <c r="V152"/>
      <c r="Z152" s="11" t="s">
        <v>25</v>
      </c>
      <c r="AA152" s="1" t="str">
        <f t="shared" si="5"/>
        <v>Turnbuckle M8</v>
      </c>
      <c r="AF152"/>
    </row>
    <row r="153" spans="1:32" x14ac:dyDescent="0.3">
      <c r="A153" s="10">
        <v>44254</v>
      </c>
      <c r="B153" s="3" t="s">
        <v>164</v>
      </c>
      <c r="C153" s="11" t="s">
        <v>246</v>
      </c>
      <c r="D153" s="12">
        <v>49.21</v>
      </c>
      <c r="E153" s="1">
        <v>11</v>
      </c>
      <c r="F153" s="13">
        <f>InputData[[#This Row],[QUANTITY]]*InputData[[#This Row],[UNIT PRICE (R)]]</f>
        <v>541.31000000000006</v>
      </c>
      <c r="G153" s="1" t="str">
        <f>VLOOKUP(InputData[[#This Row],[CUSTOMER NAME]],Country[],2,0)</f>
        <v>India</v>
      </c>
      <c r="H153" s="1" t="str">
        <f>VLOOKUP(InputData[[#This Row],[CUSTOMER NAME]],Country[],3,0)</f>
        <v>East</v>
      </c>
      <c r="I153" s="1" t="str">
        <f>TEXT(InputData[[#This Row],[DATE]],"mmmm")</f>
        <v>February</v>
      </c>
      <c r="J153" s="1" t="str">
        <f>TEXT(InputData[[#This Row],[DATE]],"ddd")</f>
        <v>Sat</v>
      </c>
      <c r="K153" s="14">
        <f>WEEKNUM(InputData[[#This Row],[DATE]])</f>
        <v>9</v>
      </c>
      <c r="N153"/>
      <c r="R153" s="3" t="s">
        <v>99</v>
      </c>
      <c r="S153" s="1" t="str">
        <f t="shared" si="4"/>
        <v>Northfield Traders</v>
      </c>
      <c r="V153"/>
      <c r="Z153" s="11" t="s">
        <v>36</v>
      </c>
      <c r="AA153" s="1" t="str">
        <f t="shared" si="5"/>
        <v>Mending Plate 100mm</v>
      </c>
      <c r="AF153"/>
    </row>
    <row r="154" spans="1:32" x14ac:dyDescent="0.3">
      <c r="A154" s="10">
        <v>44254</v>
      </c>
      <c r="B154" s="3" t="s">
        <v>178</v>
      </c>
      <c r="C154" s="11" t="s">
        <v>233</v>
      </c>
      <c r="D154" s="12">
        <v>155.61000000000001</v>
      </c>
      <c r="E154" s="1">
        <v>15</v>
      </c>
      <c r="F154" s="13">
        <f>InputData[[#This Row],[QUANTITY]]*InputData[[#This Row],[UNIT PRICE (R)]]</f>
        <v>2334.15</v>
      </c>
      <c r="G154" s="1" t="str">
        <f>VLOOKUP(InputData[[#This Row],[CUSTOMER NAME]],Country[],2,0)</f>
        <v>Pakistan</v>
      </c>
      <c r="H154" s="1" t="str">
        <f>VLOOKUP(InputData[[#This Row],[CUSTOMER NAME]],Country[],3,0)</f>
        <v>Export</v>
      </c>
      <c r="I154" s="1" t="str">
        <f>TEXT(InputData[[#This Row],[DATE]],"mmmm")</f>
        <v>February</v>
      </c>
      <c r="J154" s="1" t="str">
        <f>TEXT(InputData[[#This Row],[DATE]],"ddd")</f>
        <v>Sat</v>
      </c>
      <c r="K154" s="14">
        <f>WEEKNUM(InputData[[#This Row],[DATE]])</f>
        <v>9</v>
      </c>
      <c r="N154"/>
      <c r="R154" s="3" t="s">
        <v>69</v>
      </c>
      <c r="S154" s="1" t="str">
        <f t="shared" si="4"/>
        <v>Southcote Industries</v>
      </c>
      <c r="V154"/>
      <c r="Z154" s="11" t="s">
        <v>18</v>
      </c>
      <c r="AA154" s="1" t="str">
        <f t="shared" si="5"/>
        <v>Split Pin 5mm</v>
      </c>
      <c r="AF154"/>
    </row>
    <row r="155" spans="1:32" x14ac:dyDescent="0.3">
      <c r="A155" s="10">
        <v>44254</v>
      </c>
      <c r="B155" s="3" t="s">
        <v>172</v>
      </c>
      <c r="C155" s="11" t="s">
        <v>240</v>
      </c>
      <c r="D155" s="12">
        <v>94.17</v>
      </c>
      <c r="E155" s="1">
        <v>7</v>
      </c>
      <c r="F155" s="13">
        <f>InputData[[#This Row],[QUANTITY]]*InputData[[#This Row],[UNIT PRICE (R)]]</f>
        <v>659.19</v>
      </c>
      <c r="G155" s="1" t="str">
        <f>VLOOKUP(InputData[[#This Row],[CUSTOMER NAME]],Country[],2,0)</f>
        <v>Mexico</v>
      </c>
      <c r="H155" s="1" t="str">
        <f>VLOOKUP(InputData[[#This Row],[CUSTOMER NAME]],Country[],3,0)</f>
        <v>Export</v>
      </c>
      <c r="I155" s="1" t="str">
        <f>TEXT(InputData[[#This Row],[DATE]],"mmmm")</f>
        <v>February</v>
      </c>
      <c r="J155" s="1" t="str">
        <f>TEXT(InputData[[#This Row],[DATE]],"ddd")</f>
        <v>Sat</v>
      </c>
      <c r="K155" s="14">
        <f>WEEKNUM(InputData[[#This Row],[DATE]])</f>
        <v>9</v>
      </c>
      <c r="N155"/>
      <c r="R155" s="3" t="s">
        <v>100</v>
      </c>
      <c r="S155" s="1" t="str">
        <f t="shared" si="4"/>
        <v>Pemberton &amp; Associates</v>
      </c>
      <c r="V155"/>
      <c r="Z155" s="11" t="s">
        <v>5</v>
      </c>
      <c r="AA155" s="1" t="str">
        <f t="shared" si="5"/>
        <v>Wing Nut M6</v>
      </c>
      <c r="AF155"/>
    </row>
    <row r="156" spans="1:32" x14ac:dyDescent="0.3">
      <c r="A156" s="10">
        <v>44255</v>
      </c>
      <c r="B156" s="3" t="s">
        <v>181</v>
      </c>
      <c r="C156" s="11" t="s">
        <v>265</v>
      </c>
      <c r="D156" s="12">
        <v>85.76</v>
      </c>
      <c r="E156" s="1">
        <v>15</v>
      </c>
      <c r="F156" s="13">
        <f>InputData[[#This Row],[QUANTITY]]*InputData[[#This Row],[UNIT PRICE (R)]]</f>
        <v>1286.4000000000001</v>
      </c>
      <c r="G156" s="1" t="str">
        <f>VLOOKUP(InputData[[#This Row],[CUSTOMER NAME]],Country[],2,0)</f>
        <v>Germany</v>
      </c>
      <c r="H156" s="1" t="str">
        <f>VLOOKUP(InputData[[#This Row],[CUSTOMER NAME]],Country[],3,0)</f>
        <v>Export</v>
      </c>
      <c r="I156" s="1" t="str">
        <f>TEXT(InputData[[#This Row],[DATE]],"mmmm")</f>
        <v>February</v>
      </c>
      <c r="J156" s="1" t="str">
        <f>TEXT(InputData[[#This Row],[DATE]],"ddd")</f>
        <v>Sun</v>
      </c>
      <c r="K156" s="14">
        <f>WEEKNUM(InputData[[#This Row],[DATE]])</f>
        <v>10</v>
      </c>
      <c r="N156"/>
      <c r="R156" s="3" t="s">
        <v>77</v>
      </c>
      <c r="S156" s="1" t="str">
        <f t="shared" si="4"/>
        <v>Fenwick Traders</v>
      </c>
      <c r="V156"/>
      <c r="Z156" s="11" t="s">
        <v>12</v>
      </c>
      <c r="AA156" s="1" t="str">
        <f t="shared" si="5"/>
        <v>Drywall Screw 30mm</v>
      </c>
      <c r="AF156"/>
    </row>
    <row r="157" spans="1:32" x14ac:dyDescent="0.3">
      <c r="A157" s="10">
        <v>44256</v>
      </c>
      <c r="B157" s="3" t="s">
        <v>166</v>
      </c>
      <c r="C157" s="11" t="s">
        <v>256</v>
      </c>
      <c r="D157" s="12">
        <v>41.81</v>
      </c>
      <c r="E157" s="1">
        <v>28</v>
      </c>
      <c r="F157" s="13">
        <f>InputData[[#This Row],[QUANTITY]]*InputData[[#This Row],[UNIT PRICE (R)]]</f>
        <v>1170.68</v>
      </c>
      <c r="G157" s="1" t="str">
        <f>VLOOKUP(InputData[[#This Row],[CUSTOMER NAME]],Country[],2,0)</f>
        <v>India</v>
      </c>
      <c r="H157" s="1" t="str">
        <f>VLOOKUP(InputData[[#This Row],[CUSTOMER NAME]],Country[],3,0)</f>
        <v>North</v>
      </c>
      <c r="I157" s="1" t="str">
        <f>TEXT(InputData[[#This Row],[DATE]],"mmmm")</f>
        <v>March</v>
      </c>
      <c r="J157" s="1" t="str">
        <f>TEXT(InputData[[#This Row],[DATE]],"ddd")</f>
        <v>Mon</v>
      </c>
      <c r="K157" s="14">
        <f>WEEKNUM(InputData[[#This Row],[DATE]])</f>
        <v>10</v>
      </c>
      <c r="N157"/>
      <c r="R157" s="3" t="s">
        <v>103</v>
      </c>
      <c r="S157" s="1" t="str">
        <f t="shared" si="4"/>
        <v>Vesterly Traders</v>
      </c>
      <c r="V157"/>
      <c r="Z157" s="11" t="s">
        <v>37</v>
      </c>
      <c r="AA157" s="1" t="str">
        <f t="shared" si="5"/>
        <v>Turnbuckle Hook M6</v>
      </c>
      <c r="AF157"/>
    </row>
    <row r="158" spans="1:32" x14ac:dyDescent="0.3">
      <c r="A158" s="10">
        <v>44257</v>
      </c>
      <c r="B158" s="3" t="s">
        <v>157</v>
      </c>
      <c r="C158" s="11" t="s">
        <v>252</v>
      </c>
      <c r="D158" s="12">
        <v>156.96</v>
      </c>
      <c r="E158" s="1">
        <v>21</v>
      </c>
      <c r="F158" s="13">
        <f>InputData[[#This Row],[QUANTITY]]*InputData[[#This Row],[UNIT PRICE (R)]]</f>
        <v>3296.1600000000003</v>
      </c>
      <c r="G158" s="1" t="str">
        <f>VLOOKUP(InputData[[#This Row],[CUSTOMER NAME]],Country[],2,0)</f>
        <v>Brazil</v>
      </c>
      <c r="H158" s="1" t="str">
        <f>VLOOKUP(InputData[[#This Row],[CUSTOMER NAME]],Country[],3,0)</f>
        <v>Export</v>
      </c>
      <c r="I158" s="1" t="str">
        <f>TEXT(InputData[[#This Row],[DATE]],"mmmm")</f>
        <v>March</v>
      </c>
      <c r="J158" s="1" t="str">
        <f>TEXT(InputData[[#This Row],[DATE]],"ddd")</f>
        <v>Tue</v>
      </c>
      <c r="K158" s="14">
        <f>WEEKNUM(InputData[[#This Row],[DATE]])</f>
        <v>10</v>
      </c>
      <c r="N158"/>
      <c r="R158" s="3" t="s">
        <v>71</v>
      </c>
      <c r="S158" s="1" t="str">
        <f t="shared" si="4"/>
        <v>Blackfriars Supply</v>
      </c>
      <c r="V158"/>
      <c r="Z158" s="11" t="s">
        <v>28</v>
      </c>
      <c r="AA158" s="1" t="str">
        <f t="shared" si="5"/>
        <v>Cabinet Hinge 75mm</v>
      </c>
      <c r="AF158"/>
    </row>
    <row r="159" spans="1:32" x14ac:dyDescent="0.3">
      <c r="A159" s="10">
        <v>44257</v>
      </c>
      <c r="B159" s="3" t="s">
        <v>160</v>
      </c>
      <c r="C159" s="11" t="s">
        <v>230</v>
      </c>
      <c r="D159" s="12">
        <v>142.80000000000001</v>
      </c>
      <c r="E159" s="1">
        <v>1</v>
      </c>
      <c r="F159" s="13">
        <f>InputData[[#This Row],[QUANTITY]]*InputData[[#This Row],[UNIT PRICE (R)]]</f>
        <v>142.80000000000001</v>
      </c>
      <c r="G159" s="1" t="str">
        <f>VLOOKUP(InputData[[#This Row],[CUSTOMER NAME]],Country[],2,0)</f>
        <v>India</v>
      </c>
      <c r="H159" s="1" t="str">
        <f>VLOOKUP(InputData[[#This Row],[CUSTOMER NAME]],Country[],3,0)</f>
        <v>Western</v>
      </c>
      <c r="I159" s="1" t="str">
        <f>TEXT(InputData[[#This Row],[DATE]],"mmmm")</f>
        <v>March</v>
      </c>
      <c r="J159" s="1" t="str">
        <f>TEXT(InputData[[#This Row],[DATE]],"ddd")</f>
        <v>Tue</v>
      </c>
      <c r="K159" s="14">
        <f>WEEKNUM(InputData[[#This Row],[DATE]])</f>
        <v>10</v>
      </c>
      <c r="N159"/>
      <c r="R159" s="3" t="s">
        <v>62</v>
      </c>
      <c r="S159" s="1" t="str">
        <f t="shared" si="4"/>
        <v>Marchbank Traders</v>
      </c>
      <c r="V159"/>
      <c r="Z159" s="11" t="s">
        <v>24</v>
      </c>
      <c r="AA159" s="1" t="str">
        <f t="shared" si="5"/>
        <v>Eye Bolt M10</v>
      </c>
      <c r="AF159"/>
    </row>
    <row r="160" spans="1:32" x14ac:dyDescent="0.3">
      <c r="A160" s="10">
        <v>44257</v>
      </c>
      <c r="B160" s="3" t="s">
        <v>164</v>
      </c>
      <c r="C160" s="11" t="s">
        <v>229</v>
      </c>
      <c r="D160" s="12">
        <v>103.88</v>
      </c>
      <c r="E160" s="1">
        <v>30</v>
      </c>
      <c r="F160" s="13">
        <f>InputData[[#This Row],[QUANTITY]]*InputData[[#This Row],[UNIT PRICE (R)]]</f>
        <v>3116.3999999999996</v>
      </c>
      <c r="G160" s="1" t="str">
        <f>VLOOKUP(InputData[[#This Row],[CUSTOMER NAME]],Country[],2,0)</f>
        <v>India</v>
      </c>
      <c r="H160" s="1" t="str">
        <f>VLOOKUP(InputData[[#This Row],[CUSTOMER NAME]],Country[],3,0)</f>
        <v>East</v>
      </c>
      <c r="I160" s="1" t="str">
        <f>TEXT(InputData[[#This Row],[DATE]],"mmmm")</f>
        <v>March</v>
      </c>
      <c r="J160" s="1" t="str">
        <f>TEXT(InputData[[#This Row],[DATE]],"ddd")</f>
        <v>Tue</v>
      </c>
      <c r="K160" s="14">
        <f>WEEKNUM(InputData[[#This Row],[DATE]])</f>
        <v>10</v>
      </c>
      <c r="N160"/>
      <c r="R160" s="3" t="s">
        <v>65</v>
      </c>
      <c r="S160" s="1" t="str">
        <f t="shared" si="4"/>
        <v>Talbot Street Merchants</v>
      </c>
      <c r="V160"/>
      <c r="Z160" s="11" t="s">
        <v>2</v>
      </c>
      <c r="AA160" s="1" t="str">
        <f t="shared" si="5"/>
        <v>Hex Bolt M10</v>
      </c>
      <c r="AF160"/>
    </row>
    <row r="161" spans="1:32" x14ac:dyDescent="0.3">
      <c r="A161" s="10">
        <v>44258</v>
      </c>
      <c r="B161" s="3" t="s">
        <v>151</v>
      </c>
      <c r="C161" s="11" t="s">
        <v>239</v>
      </c>
      <c r="D161" s="12">
        <v>48.4</v>
      </c>
      <c r="E161" s="1">
        <v>1</v>
      </c>
      <c r="F161" s="13">
        <f>InputData[[#This Row],[QUANTITY]]*InputData[[#This Row],[UNIT PRICE (R)]]</f>
        <v>48.4</v>
      </c>
      <c r="G161" s="1" t="str">
        <f>VLOOKUP(InputData[[#This Row],[CUSTOMER NAME]],Country[],2,0)</f>
        <v>Russia</v>
      </c>
      <c r="H161" s="1" t="str">
        <f>VLOOKUP(InputData[[#This Row],[CUSTOMER NAME]],Country[],3,0)</f>
        <v>Export</v>
      </c>
      <c r="I161" s="1" t="str">
        <f>TEXT(InputData[[#This Row],[DATE]],"mmmm")</f>
        <v>March</v>
      </c>
      <c r="J161" s="1" t="str">
        <f>TEXT(InputData[[#This Row],[DATE]],"ddd")</f>
        <v>Wed</v>
      </c>
      <c r="K161" s="14">
        <f>WEEKNUM(InputData[[#This Row],[DATE]])</f>
        <v>10</v>
      </c>
      <c r="N161"/>
      <c r="R161" s="3" t="s">
        <v>69</v>
      </c>
      <c r="S161" s="1" t="str">
        <f t="shared" si="4"/>
        <v>Southcote Industries</v>
      </c>
      <c r="V161"/>
      <c r="Z161" s="11" t="s">
        <v>1</v>
      </c>
      <c r="AA161" s="1" t="str">
        <f t="shared" si="5"/>
        <v>Hex Bolt M8</v>
      </c>
      <c r="AF161"/>
    </row>
    <row r="162" spans="1:32" x14ac:dyDescent="0.3">
      <c r="A162" s="10">
        <v>44258</v>
      </c>
      <c r="B162" s="3" t="s">
        <v>154</v>
      </c>
      <c r="C162" s="11" t="s">
        <v>264</v>
      </c>
      <c r="D162" s="12">
        <v>96.3</v>
      </c>
      <c r="E162" s="1">
        <v>29</v>
      </c>
      <c r="F162" s="13">
        <f>InputData[[#This Row],[QUANTITY]]*InputData[[#This Row],[UNIT PRICE (R)]]</f>
        <v>2792.7</v>
      </c>
      <c r="G162" s="1" t="str">
        <f>VLOOKUP(InputData[[#This Row],[CUSTOMER NAME]],Country[],2,0)</f>
        <v>India</v>
      </c>
      <c r="H162" s="1" t="str">
        <f>VLOOKUP(InputData[[#This Row],[CUSTOMER NAME]],Country[],3,0)</f>
        <v>Central</v>
      </c>
      <c r="I162" s="1" t="str">
        <f>TEXT(InputData[[#This Row],[DATE]],"mmmm")</f>
        <v>March</v>
      </c>
      <c r="J162" s="1" t="str">
        <f>TEXT(InputData[[#This Row],[DATE]],"ddd")</f>
        <v>Wed</v>
      </c>
      <c r="K162" s="14">
        <f>WEEKNUM(InputData[[#This Row],[DATE]])</f>
        <v>10</v>
      </c>
      <c r="N162"/>
      <c r="R162" s="3" t="s">
        <v>56</v>
      </c>
      <c r="S162" s="1" t="str">
        <f t="shared" si="4"/>
        <v>Northgate Industries</v>
      </c>
      <c r="V162"/>
      <c r="Z162" s="11" t="s">
        <v>11</v>
      </c>
      <c r="AA162" s="1" t="str">
        <f t="shared" si="5"/>
        <v>Wood Screw 40mm</v>
      </c>
      <c r="AF162"/>
    </row>
    <row r="163" spans="1:32" x14ac:dyDescent="0.3">
      <c r="A163" s="10">
        <v>44259</v>
      </c>
      <c r="B163" s="3" t="s">
        <v>160</v>
      </c>
      <c r="C163" s="11" t="s">
        <v>254</v>
      </c>
      <c r="D163" s="12">
        <v>24.66</v>
      </c>
      <c r="E163" s="1">
        <v>13</v>
      </c>
      <c r="F163" s="13">
        <f>InputData[[#This Row],[QUANTITY]]*InputData[[#This Row],[UNIT PRICE (R)]]</f>
        <v>320.58</v>
      </c>
      <c r="G163" s="1" t="str">
        <f>VLOOKUP(InputData[[#This Row],[CUSTOMER NAME]],Country[],2,0)</f>
        <v>India</v>
      </c>
      <c r="H163" s="1" t="str">
        <f>VLOOKUP(InputData[[#This Row],[CUSTOMER NAME]],Country[],3,0)</f>
        <v>Western</v>
      </c>
      <c r="I163" s="1" t="str">
        <f>TEXT(InputData[[#This Row],[DATE]],"mmmm")</f>
        <v>March</v>
      </c>
      <c r="J163" s="1" t="str">
        <f>TEXT(InputData[[#This Row],[DATE]],"ddd")</f>
        <v>Thu</v>
      </c>
      <c r="K163" s="14">
        <f>WEEKNUM(InputData[[#This Row],[DATE]])</f>
        <v>10</v>
      </c>
      <c r="N163"/>
      <c r="R163" s="3" t="s">
        <v>59</v>
      </c>
      <c r="S163" s="1" t="str">
        <f t="shared" si="4"/>
        <v>Bellview Enterprises</v>
      </c>
      <c r="V163"/>
      <c r="Z163" s="11" t="s">
        <v>36</v>
      </c>
      <c r="AA163" s="1" t="str">
        <f t="shared" si="5"/>
        <v>Mending Plate 100mm</v>
      </c>
      <c r="AF163"/>
    </row>
    <row r="164" spans="1:32" x14ac:dyDescent="0.3">
      <c r="A164" s="10">
        <v>44259</v>
      </c>
      <c r="B164" s="3" t="s">
        <v>166</v>
      </c>
      <c r="C164" s="11" t="s">
        <v>232</v>
      </c>
      <c r="D164" s="12">
        <v>48.84</v>
      </c>
      <c r="E164" s="1">
        <v>23</v>
      </c>
      <c r="F164" s="13">
        <f>InputData[[#This Row],[QUANTITY]]*InputData[[#This Row],[UNIT PRICE (R)]]</f>
        <v>1123.3200000000002</v>
      </c>
      <c r="G164" s="1" t="str">
        <f>VLOOKUP(InputData[[#This Row],[CUSTOMER NAME]],Country[],2,0)</f>
        <v>India</v>
      </c>
      <c r="H164" s="1" t="str">
        <f>VLOOKUP(InputData[[#This Row],[CUSTOMER NAME]],Country[],3,0)</f>
        <v>North</v>
      </c>
      <c r="I164" s="1" t="str">
        <f>TEXT(InputData[[#This Row],[DATE]],"mmmm")</f>
        <v>March</v>
      </c>
      <c r="J164" s="1" t="str">
        <f>TEXT(InputData[[#This Row],[DATE]],"ddd")</f>
        <v>Thu</v>
      </c>
      <c r="K164" s="14">
        <f>WEEKNUM(InputData[[#This Row],[DATE]])</f>
        <v>10</v>
      </c>
      <c r="N164"/>
      <c r="R164" s="3" t="s">
        <v>65</v>
      </c>
      <c r="S164" s="1" t="str">
        <f t="shared" si="4"/>
        <v>Talbot Street Merchants</v>
      </c>
      <c r="V164"/>
      <c r="Z164" s="11" t="s">
        <v>26</v>
      </c>
      <c r="AA164" s="1" t="str">
        <f t="shared" si="5"/>
        <v>Chain Link 6mm</v>
      </c>
      <c r="AF164"/>
    </row>
    <row r="165" spans="1:32" x14ac:dyDescent="0.3">
      <c r="A165" s="10">
        <v>44259</v>
      </c>
      <c r="B165" s="3" t="s">
        <v>167</v>
      </c>
      <c r="C165" s="11" t="s">
        <v>253</v>
      </c>
      <c r="D165" s="12">
        <v>8.33</v>
      </c>
      <c r="E165" s="1">
        <v>26</v>
      </c>
      <c r="F165" s="13">
        <f>InputData[[#This Row],[QUANTITY]]*InputData[[#This Row],[UNIT PRICE (R)]]</f>
        <v>216.58</v>
      </c>
      <c r="G165" s="1" t="str">
        <f>VLOOKUP(InputData[[#This Row],[CUSTOMER NAME]],Country[],2,0)</f>
        <v>Ethiopia</v>
      </c>
      <c r="H165" s="1" t="str">
        <f>VLOOKUP(InputData[[#This Row],[CUSTOMER NAME]],Country[],3,0)</f>
        <v>Export</v>
      </c>
      <c r="I165" s="1" t="str">
        <f>TEXT(InputData[[#This Row],[DATE]],"mmmm")</f>
        <v>March</v>
      </c>
      <c r="J165" s="1" t="str">
        <f>TEXT(InputData[[#This Row],[DATE]],"ddd")</f>
        <v>Thu</v>
      </c>
      <c r="K165" s="14">
        <f>WEEKNUM(InputData[[#This Row],[DATE]])</f>
        <v>10</v>
      </c>
      <c r="N165"/>
      <c r="R165" s="3" t="s">
        <v>71</v>
      </c>
      <c r="S165" s="1" t="str">
        <f t="shared" si="4"/>
        <v>Blackfriars Supply</v>
      </c>
      <c r="V165"/>
      <c r="Z165" s="11" t="s">
        <v>4</v>
      </c>
      <c r="AA165" s="1" t="str">
        <f t="shared" si="5"/>
        <v>Carriage Bolt M8</v>
      </c>
      <c r="AF165"/>
    </row>
    <row r="166" spans="1:32" x14ac:dyDescent="0.3">
      <c r="A166" s="10">
        <v>44260</v>
      </c>
      <c r="B166" s="3" t="s">
        <v>164</v>
      </c>
      <c r="C166" s="11" t="s">
        <v>268</v>
      </c>
      <c r="D166" s="12">
        <v>115.2</v>
      </c>
      <c r="E166" s="1">
        <v>33</v>
      </c>
      <c r="F166" s="13">
        <f>InputData[[#This Row],[QUANTITY]]*InputData[[#This Row],[UNIT PRICE (R)]]</f>
        <v>3801.6</v>
      </c>
      <c r="G166" s="1" t="str">
        <f>VLOOKUP(InputData[[#This Row],[CUSTOMER NAME]],Country[],2,0)</f>
        <v>India</v>
      </c>
      <c r="H166" s="1" t="str">
        <f>VLOOKUP(InputData[[#This Row],[CUSTOMER NAME]],Country[],3,0)</f>
        <v>East</v>
      </c>
      <c r="I166" s="1" t="str">
        <f>TEXT(InputData[[#This Row],[DATE]],"mmmm")</f>
        <v>March</v>
      </c>
      <c r="J166" s="1" t="str">
        <f>TEXT(InputData[[#This Row],[DATE]],"ddd")</f>
        <v>Fri</v>
      </c>
      <c r="K166" s="14">
        <f>WEEKNUM(InputData[[#This Row],[DATE]])</f>
        <v>10</v>
      </c>
      <c r="N166"/>
      <c r="R166" s="3" t="s">
        <v>72</v>
      </c>
      <c r="S166" s="1" t="str">
        <f t="shared" si="4"/>
        <v>Hendricks Mercantile</v>
      </c>
      <c r="V166"/>
      <c r="Z166" s="11" t="s">
        <v>25</v>
      </c>
      <c r="AA166" s="1" t="str">
        <f t="shared" si="5"/>
        <v>Turnbuckle M8</v>
      </c>
      <c r="AF166"/>
    </row>
    <row r="167" spans="1:32" x14ac:dyDescent="0.3">
      <c r="A167" s="10">
        <v>44261</v>
      </c>
      <c r="B167" s="3" t="s">
        <v>160</v>
      </c>
      <c r="C167" s="11" t="s">
        <v>232</v>
      </c>
      <c r="D167" s="12">
        <v>48.84</v>
      </c>
      <c r="E167" s="1">
        <v>2</v>
      </c>
      <c r="F167" s="13">
        <f>InputData[[#This Row],[QUANTITY]]*InputData[[#This Row],[UNIT PRICE (R)]]</f>
        <v>97.68</v>
      </c>
      <c r="G167" s="1" t="str">
        <f>VLOOKUP(InputData[[#This Row],[CUSTOMER NAME]],Country[],2,0)</f>
        <v>India</v>
      </c>
      <c r="H167" s="1" t="str">
        <f>VLOOKUP(InputData[[#This Row],[CUSTOMER NAME]],Country[],3,0)</f>
        <v>Western</v>
      </c>
      <c r="I167" s="1" t="str">
        <f>TEXT(InputData[[#This Row],[DATE]],"mmmm")</f>
        <v>March</v>
      </c>
      <c r="J167" s="1" t="str">
        <f>TEXT(InputData[[#This Row],[DATE]],"ddd")</f>
        <v>Sat</v>
      </c>
      <c r="K167" s="14">
        <f>WEEKNUM(InputData[[#This Row],[DATE]])</f>
        <v>10</v>
      </c>
      <c r="N167"/>
      <c r="R167" s="3" t="s">
        <v>69</v>
      </c>
      <c r="S167" s="1" t="str">
        <f t="shared" si="4"/>
        <v>Southcote Industries</v>
      </c>
      <c r="V167"/>
      <c r="Z167" s="11" t="s">
        <v>40</v>
      </c>
      <c r="AA167" s="1" t="str">
        <f t="shared" si="5"/>
        <v>Conduit Clamp 25mm</v>
      </c>
      <c r="AF167"/>
    </row>
    <row r="168" spans="1:32" x14ac:dyDescent="0.3">
      <c r="A168" s="10">
        <v>44262</v>
      </c>
      <c r="B168" s="3" t="s">
        <v>143</v>
      </c>
      <c r="C168" s="11" t="s">
        <v>231</v>
      </c>
      <c r="D168" s="12">
        <v>80.94</v>
      </c>
      <c r="E168" s="1">
        <v>1</v>
      </c>
      <c r="F168" s="13">
        <f>InputData[[#This Row],[QUANTITY]]*InputData[[#This Row],[UNIT PRICE (R)]]</f>
        <v>80.94</v>
      </c>
      <c r="G168" s="1" t="str">
        <f>VLOOKUP(InputData[[#This Row],[CUSTOMER NAME]],Country[],2,0)</f>
        <v>Nigeria</v>
      </c>
      <c r="H168" s="1" t="str">
        <f>VLOOKUP(InputData[[#This Row],[CUSTOMER NAME]],Country[],3,0)</f>
        <v>Export</v>
      </c>
      <c r="I168" s="1" t="str">
        <f>TEXT(InputData[[#This Row],[DATE]],"mmmm")</f>
        <v>March</v>
      </c>
      <c r="J168" s="1" t="str">
        <f>TEXT(InputData[[#This Row],[DATE]],"ddd")</f>
        <v>Sun</v>
      </c>
      <c r="K168" s="14">
        <f>WEEKNUM(InputData[[#This Row],[DATE]])</f>
        <v>11</v>
      </c>
      <c r="N168"/>
      <c r="R168" s="3" t="s">
        <v>65</v>
      </c>
      <c r="S168" s="1" t="str">
        <f t="shared" si="4"/>
        <v>Talbot Street Merchants</v>
      </c>
      <c r="V168"/>
      <c r="Z168" s="11" t="s">
        <v>4</v>
      </c>
      <c r="AA168" s="1" t="str">
        <f t="shared" si="5"/>
        <v>Carriage Bolt M8</v>
      </c>
      <c r="AF168"/>
    </row>
    <row r="169" spans="1:32" x14ac:dyDescent="0.3">
      <c r="A169" s="10">
        <v>44262</v>
      </c>
      <c r="B169" s="3" t="s">
        <v>175</v>
      </c>
      <c r="C169" s="11" t="s">
        <v>249</v>
      </c>
      <c r="D169" s="12">
        <v>162.54</v>
      </c>
      <c r="E169" s="1">
        <v>9</v>
      </c>
      <c r="F169" s="13">
        <f>InputData[[#This Row],[QUANTITY]]*InputData[[#This Row],[UNIT PRICE (R)]]</f>
        <v>1462.86</v>
      </c>
      <c r="G169" s="1" t="str">
        <f>VLOOKUP(InputData[[#This Row],[CUSTOMER NAME]],Country[],2,0)</f>
        <v>India</v>
      </c>
      <c r="H169" s="1" t="str">
        <f>VLOOKUP(InputData[[#This Row],[CUSTOMER NAME]],Country[],3,0)</f>
        <v>Western</v>
      </c>
      <c r="I169" s="1" t="str">
        <f>TEXT(InputData[[#This Row],[DATE]],"mmmm")</f>
        <v>March</v>
      </c>
      <c r="J169" s="1" t="str">
        <f>TEXT(InputData[[#This Row],[DATE]],"ddd")</f>
        <v>Sun</v>
      </c>
      <c r="K169" s="14">
        <f>WEEKNUM(InputData[[#This Row],[DATE]])</f>
        <v>11</v>
      </c>
      <c r="N169"/>
      <c r="R169" s="3" t="s">
        <v>48</v>
      </c>
      <c r="S169" s="1" t="str">
        <f t="shared" si="4"/>
        <v>Thornwell Trading</v>
      </c>
      <c r="V169"/>
      <c r="Z169" s="11" t="s">
        <v>3</v>
      </c>
      <c r="AA169" s="1" t="str">
        <f t="shared" si="5"/>
        <v>Hex Bolt M12</v>
      </c>
      <c r="AF169"/>
    </row>
    <row r="170" spans="1:32" x14ac:dyDescent="0.3">
      <c r="A170" s="10">
        <v>44262</v>
      </c>
      <c r="B170" s="3" t="s">
        <v>154</v>
      </c>
      <c r="C170" s="11" t="s">
        <v>245</v>
      </c>
      <c r="D170" s="12">
        <v>156.78</v>
      </c>
      <c r="E170" s="1">
        <v>25</v>
      </c>
      <c r="F170" s="13">
        <f>InputData[[#This Row],[QUANTITY]]*InputData[[#This Row],[UNIT PRICE (R)]]</f>
        <v>3919.5</v>
      </c>
      <c r="G170" s="1" t="str">
        <f>VLOOKUP(InputData[[#This Row],[CUSTOMER NAME]],Country[],2,0)</f>
        <v>India</v>
      </c>
      <c r="H170" s="1" t="str">
        <f>VLOOKUP(InputData[[#This Row],[CUSTOMER NAME]],Country[],3,0)</f>
        <v>Central</v>
      </c>
      <c r="I170" s="1" t="str">
        <f>TEXT(InputData[[#This Row],[DATE]],"mmmm")</f>
        <v>March</v>
      </c>
      <c r="J170" s="1" t="str">
        <f>TEXT(InputData[[#This Row],[DATE]],"ddd")</f>
        <v>Sun</v>
      </c>
      <c r="K170" s="14">
        <f>WEEKNUM(InputData[[#This Row],[DATE]])</f>
        <v>11</v>
      </c>
      <c r="N170"/>
      <c r="R170" s="3" t="s">
        <v>97</v>
      </c>
      <c r="S170" s="1" t="str">
        <f t="shared" si="4"/>
        <v>Stonebridge Commercial</v>
      </c>
      <c r="V170"/>
      <c r="Z170" s="11" t="s">
        <v>21</v>
      </c>
      <c r="AA170" s="1" t="str">
        <f t="shared" si="5"/>
        <v>Pipe Clamp 25mm</v>
      </c>
      <c r="AF170"/>
    </row>
    <row r="171" spans="1:32" x14ac:dyDescent="0.3">
      <c r="A171" s="10">
        <v>44263</v>
      </c>
      <c r="B171" s="3" t="s">
        <v>173</v>
      </c>
      <c r="C171" s="11" t="s">
        <v>250</v>
      </c>
      <c r="D171" s="12">
        <v>141.57</v>
      </c>
      <c r="E171" s="1">
        <v>22</v>
      </c>
      <c r="F171" s="13">
        <f>InputData[[#This Row],[QUANTITY]]*InputData[[#This Row],[UNIT PRICE (R)]]</f>
        <v>3114.54</v>
      </c>
      <c r="G171" s="1" t="str">
        <f>VLOOKUP(InputData[[#This Row],[CUSTOMER NAME]],Country[],2,0)</f>
        <v>India</v>
      </c>
      <c r="H171" s="1" t="str">
        <f>VLOOKUP(InputData[[#This Row],[CUSTOMER NAME]],Country[],3,0)</f>
        <v>North</v>
      </c>
      <c r="I171" s="1" t="str">
        <f>TEXT(InputData[[#This Row],[DATE]],"mmmm")</f>
        <v>March</v>
      </c>
      <c r="J171" s="1" t="str">
        <f>TEXT(InputData[[#This Row],[DATE]],"ddd")</f>
        <v>Mon</v>
      </c>
      <c r="K171" s="14">
        <f>WEEKNUM(InputData[[#This Row],[DATE]])</f>
        <v>11</v>
      </c>
      <c r="N171"/>
      <c r="R171" s="3" t="s">
        <v>59</v>
      </c>
      <c r="S171" s="1" t="str">
        <f t="shared" si="4"/>
        <v>Bellview Enterprises</v>
      </c>
      <c r="V171"/>
      <c r="Z171" s="11" t="s">
        <v>17</v>
      </c>
      <c r="AA171" s="1" t="str">
        <f t="shared" si="5"/>
        <v>Cotter Pin 3mm</v>
      </c>
      <c r="AF171"/>
    </row>
    <row r="172" spans="1:32" x14ac:dyDescent="0.3">
      <c r="A172" s="10">
        <v>44263</v>
      </c>
      <c r="B172" s="3" t="s">
        <v>160</v>
      </c>
      <c r="C172" s="11" t="s">
        <v>272</v>
      </c>
      <c r="D172" s="12">
        <v>82.08</v>
      </c>
      <c r="E172" s="1">
        <v>9</v>
      </c>
      <c r="F172" s="13">
        <f>InputData[[#This Row],[QUANTITY]]*InputData[[#This Row],[UNIT PRICE (R)]]</f>
        <v>738.72</v>
      </c>
      <c r="G172" s="1" t="str">
        <f>VLOOKUP(InputData[[#This Row],[CUSTOMER NAME]],Country[],2,0)</f>
        <v>India</v>
      </c>
      <c r="H172" s="1" t="str">
        <f>VLOOKUP(InputData[[#This Row],[CUSTOMER NAME]],Country[],3,0)</f>
        <v>Western</v>
      </c>
      <c r="I172" s="1" t="str">
        <f>TEXT(InputData[[#This Row],[DATE]],"mmmm")</f>
        <v>March</v>
      </c>
      <c r="J172" s="1" t="str">
        <f>TEXT(InputData[[#This Row],[DATE]],"ddd")</f>
        <v>Mon</v>
      </c>
      <c r="K172" s="14">
        <f>WEEKNUM(InputData[[#This Row],[DATE]])</f>
        <v>11</v>
      </c>
      <c r="N172"/>
      <c r="R172" s="3" t="s">
        <v>95</v>
      </c>
      <c r="S172" s="1" t="str">
        <f t="shared" si="4"/>
        <v>Cobalt Point Supplies</v>
      </c>
      <c r="V172"/>
      <c r="Z172" s="11" t="s">
        <v>22</v>
      </c>
      <c r="AA172" s="1" t="str">
        <f t="shared" si="5"/>
        <v>Hose Clamp 32mm</v>
      </c>
      <c r="AF172"/>
    </row>
    <row r="173" spans="1:32" x14ac:dyDescent="0.3">
      <c r="A173" s="10">
        <v>44263</v>
      </c>
      <c r="B173" s="3" t="s">
        <v>167</v>
      </c>
      <c r="C173" s="11" t="s">
        <v>255</v>
      </c>
      <c r="D173" s="12">
        <v>57.120000000000005</v>
      </c>
      <c r="E173" s="1">
        <v>6</v>
      </c>
      <c r="F173" s="13">
        <f>InputData[[#This Row],[QUANTITY]]*InputData[[#This Row],[UNIT PRICE (R)]]</f>
        <v>342.72</v>
      </c>
      <c r="G173" s="1" t="str">
        <f>VLOOKUP(InputData[[#This Row],[CUSTOMER NAME]],Country[],2,0)</f>
        <v>Ethiopia</v>
      </c>
      <c r="H173" s="1" t="str">
        <f>VLOOKUP(InputData[[#This Row],[CUSTOMER NAME]],Country[],3,0)</f>
        <v>Export</v>
      </c>
      <c r="I173" s="1" t="str">
        <f>TEXT(InputData[[#This Row],[DATE]],"mmmm")</f>
        <v>March</v>
      </c>
      <c r="J173" s="1" t="str">
        <f>TEXT(InputData[[#This Row],[DATE]],"ddd")</f>
        <v>Mon</v>
      </c>
      <c r="K173" s="14">
        <f>WEEKNUM(InputData[[#This Row],[DATE]])</f>
        <v>11</v>
      </c>
      <c r="N173"/>
      <c r="R173" s="3" t="s">
        <v>65</v>
      </c>
      <c r="S173" s="1" t="str">
        <f t="shared" si="4"/>
        <v>Talbot Street Merchants</v>
      </c>
      <c r="V173"/>
      <c r="Z173" s="11" t="s">
        <v>44</v>
      </c>
      <c r="AA173" s="1" t="str">
        <f t="shared" si="5"/>
        <v>Brass Elbow Joint 20mm</v>
      </c>
      <c r="AF173"/>
    </row>
    <row r="174" spans="1:32" x14ac:dyDescent="0.3">
      <c r="A174" s="10">
        <v>44263</v>
      </c>
      <c r="B174" s="3" t="s">
        <v>172</v>
      </c>
      <c r="C174" s="11" t="s">
        <v>272</v>
      </c>
      <c r="D174" s="12">
        <v>82.08</v>
      </c>
      <c r="E174" s="1">
        <v>6</v>
      </c>
      <c r="F174" s="13">
        <f>InputData[[#This Row],[QUANTITY]]*InputData[[#This Row],[UNIT PRICE (R)]]</f>
        <v>492.48</v>
      </c>
      <c r="G174" s="1" t="str">
        <f>VLOOKUP(InputData[[#This Row],[CUSTOMER NAME]],Country[],2,0)</f>
        <v>Mexico</v>
      </c>
      <c r="H174" s="1" t="str">
        <f>VLOOKUP(InputData[[#This Row],[CUSTOMER NAME]],Country[],3,0)</f>
        <v>Export</v>
      </c>
      <c r="I174" s="1" t="str">
        <f>TEXT(InputData[[#This Row],[DATE]],"mmmm")</f>
        <v>March</v>
      </c>
      <c r="J174" s="1" t="str">
        <f>TEXT(InputData[[#This Row],[DATE]],"ddd")</f>
        <v>Mon</v>
      </c>
      <c r="K174" s="14">
        <f>WEEKNUM(InputData[[#This Row],[DATE]])</f>
        <v>11</v>
      </c>
      <c r="N174"/>
      <c r="R174" s="3" t="s">
        <v>72</v>
      </c>
      <c r="S174" s="1" t="str">
        <f t="shared" si="4"/>
        <v>Hendricks Mercantile</v>
      </c>
      <c r="V174"/>
      <c r="Z174" s="11" t="s">
        <v>27</v>
      </c>
      <c r="AA174" s="1" t="str">
        <f t="shared" si="5"/>
        <v>Padlock Hasp 100mm</v>
      </c>
      <c r="AF174"/>
    </row>
    <row r="175" spans="1:32" x14ac:dyDescent="0.3">
      <c r="A175" s="10">
        <v>44264</v>
      </c>
      <c r="B175" s="3" t="s">
        <v>146</v>
      </c>
      <c r="C175" s="11" t="s">
        <v>258</v>
      </c>
      <c r="D175" s="12">
        <v>201.28</v>
      </c>
      <c r="E175" s="1">
        <v>3</v>
      </c>
      <c r="F175" s="13">
        <f>InputData[[#This Row],[QUANTITY]]*InputData[[#This Row],[UNIT PRICE (R)]]</f>
        <v>603.84</v>
      </c>
      <c r="G175" s="1" t="str">
        <f>VLOOKUP(InputData[[#This Row],[CUSTOMER NAME]],Country[],2,0)</f>
        <v>Saudi Arabia</v>
      </c>
      <c r="H175" s="1" t="str">
        <f>VLOOKUP(InputData[[#This Row],[CUSTOMER NAME]],Country[],3,0)</f>
        <v>Export</v>
      </c>
      <c r="I175" s="1" t="str">
        <f>TEXT(InputData[[#This Row],[DATE]],"mmmm")</f>
        <v>March</v>
      </c>
      <c r="J175" s="1" t="str">
        <f>TEXT(InputData[[#This Row],[DATE]],"ddd")</f>
        <v>Tue</v>
      </c>
      <c r="K175" s="14">
        <f>WEEKNUM(InputData[[#This Row],[DATE]])</f>
        <v>11</v>
      </c>
      <c r="N175"/>
      <c r="R175" s="3" t="s">
        <v>77</v>
      </c>
      <c r="S175" s="1" t="str">
        <f t="shared" si="4"/>
        <v>Fenwick Traders</v>
      </c>
      <c r="V175"/>
      <c r="Z175" s="11" t="s">
        <v>44</v>
      </c>
      <c r="AA175" s="1" t="str">
        <f t="shared" si="5"/>
        <v>Brass Elbow Joint 20mm</v>
      </c>
      <c r="AF175"/>
    </row>
    <row r="176" spans="1:32" x14ac:dyDescent="0.3">
      <c r="A176" s="10">
        <v>44264</v>
      </c>
      <c r="B176" s="3" t="s">
        <v>158</v>
      </c>
      <c r="C176" s="11" t="s">
        <v>232</v>
      </c>
      <c r="D176" s="12">
        <v>48.84</v>
      </c>
      <c r="E176" s="1">
        <v>11</v>
      </c>
      <c r="F176" s="13">
        <f>InputData[[#This Row],[QUANTITY]]*InputData[[#This Row],[UNIT PRICE (R)]]</f>
        <v>537.24</v>
      </c>
      <c r="G176" s="1" t="str">
        <f>VLOOKUP(InputData[[#This Row],[CUSTOMER NAME]],Country[],2,0)</f>
        <v>Russia</v>
      </c>
      <c r="H176" s="1" t="str">
        <f>VLOOKUP(InputData[[#This Row],[CUSTOMER NAME]],Country[],3,0)</f>
        <v>Export</v>
      </c>
      <c r="I176" s="1" t="str">
        <f>TEXT(InputData[[#This Row],[DATE]],"mmmm")</f>
        <v>March</v>
      </c>
      <c r="J176" s="1" t="str">
        <f>TEXT(InputData[[#This Row],[DATE]],"ddd")</f>
        <v>Tue</v>
      </c>
      <c r="K176" s="14">
        <f>WEEKNUM(InputData[[#This Row],[DATE]])</f>
        <v>11</v>
      </c>
      <c r="N176"/>
      <c r="R176" s="3" t="s">
        <v>51</v>
      </c>
      <c r="S176" s="1" t="str">
        <f t="shared" si="4"/>
        <v>Coastal Fittings Ltd</v>
      </c>
      <c r="V176"/>
      <c r="Z176" s="11" t="s">
        <v>30</v>
      </c>
      <c r="AA176" s="1" t="str">
        <f t="shared" si="5"/>
        <v>Door Latch Set</v>
      </c>
      <c r="AF176"/>
    </row>
    <row r="177" spans="1:32" x14ac:dyDescent="0.3">
      <c r="A177" s="10">
        <v>44264</v>
      </c>
      <c r="B177" s="3" t="s">
        <v>160</v>
      </c>
      <c r="C177" s="11" t="s">
        <v>257</v>
      </c>
      <c r="D177" s="12">
        <v>53.11</v>
      </c>
      <c r="E177" s="1">
        <v>6</v>
      </c>
      <c r="F177" s="13">
        <f>InputData[[#This Row],[QUANTITY]]*InputData[[#This Row],[UNIT PRICE (R)]]</f>
        <v>318.65999999999997</v>
      </c>
      <c r="G177" s="1" t="str">
        <f>VLOOKUP(InputData[[#This Row],[CUSTOMER NAME]],Country[],2,0)</f>
        <v>India</v>
      </c>
      <c r="H177" s="1" t="str">
        <f>VLOOKUP(InputData[[#This Row],[CUSTOMER NAME]],Country[],3,0)</f>
        <v>Western</v>
      </c>
      <c r="I177" s="1" t="str">
        <f>TEXT(InputData[[#This Row],[DATE]],"mmmm")</f>
        <v>March</v>
      </c>
      <c r="J177" s="1" t="str">
        <f>TEXT(InputData[[#This Row],[DATE]],"ddd")</f>
        <v>Tue</v>
      </c>
      <c r="K177" s="14">
        <f>WEEKNUM(InputData[[#This Row],[DATE]])</f>
        <v>11</v>
      </c>
      <c r="N177"/>
      <c r="R177" s="3" t="s">
        <v>63</v>
      </c>
      <c r="S177" s="1" t="str">
        <f t="shared" si="4"/>
        <v>Ovenden &amp; Sons</v>
      </c>
      <c r="V177"/>
      <c r="Z177" s="11" t="s">
        <v>4</v>
      </c>
      <c r="AA177" s="1" t="str">
        <f t="shared" si="5"/>
        <v>Carriage Bolt M8</v>
      </c>
      <c r="AF177"/>
    </row>
    <row r="178" spans="1:32" x14ac:dyDescent="0.3">
      <c r="A178" s="10">
        <v>44265</v>
      </c>
      <c r="B178" s="3" t="s">
        <v>144</v>
      </c>
      <c r="C178" s="11" t="s">
        <v>261</v>
      </c>
      <c r="D178" s="12">
        <v>119.7</v>
      </c>
      <c r="E178" s="1">
        <v>12</v>
      </c>
      <c r="F178" s="13">
        <f>InputData[[#This Row],[QUANTITY]]*InputData[[#This Row],[UNIT PRICE (R)]]</f>
        <v>1436.4</v>
      </c>
      <c r="G178" s="1" t="str">
        <f>VLOOKUP(InputData[[#This Row],[CUSTOMER NAME]],Country[],2,0)</f>
        <v>Bangladesh</v>
      </c>
      <c r="H178" s="1" t="str">
        <f>VLOOKUP(InputData[[#This Row],[CUSTOMER NAME]],Country[],3,0)</f>
        <v>Export</v>
      </c>
      <c r="I178" s="1" t="str">
        <f>TEXT(InputData[[#This Row],[DATE]],"mmmm")</f>
        <v>March</v>
      </c>
      <c r="J178" s="1" t="str">
        <f>TEXT(InputData[[#This Row],[DATE]],"ddd")</f>
        <v>Wed</v>
      </c>
      <c r="K178" s="14">
        <f>WEEKNUM(InputData[[#This Row],[DATE]])</f>
        <v>11</v>
      </c>
      <c r="N178"/>
      <c r="R178" s="3" t="s">
        <v>65</v>
      </c>
      <c r="S178" s="1" t="str">
        <f t="shared" si="4"/>
        <v>Talbot Street Merchants</v>
      </c>
      <c r="V178"/>
      <c r="Z178" s="11" t="s">
        <v>29</v>
      </c>
      <c r="AA178" s="1" t="str">
        <f t="shared" si="5"/>
        <v>Butt Hinge 100mm</v>
      </c>
      <c r="AF178"/>
    </row>
    <row r="179" spans="1:32" x14ac:dyDescent="0.3">
      <c r="A179" s="10">
        <v>44265</v>
      </c>
      <c r="B179" s="3" t="s">
        <v>158</v>
      </c>
      <c r="C179" s="11" t="s">
        <v>230</v>
      </c>
      <c r="D179" s="12">
        <v>142.80000000000001</v>
      </c>
      <c r="E179" s="1">
        <v>6</v>
      </c>
      <c r="F179" s="13">
        <f>InputData[[#This Row],[QUANTITY]]*InputData[[#This Row],[UNIT PRICE (R)]]</f>
        <v>856.80000000000007</v>
      </c>
      <c r="G179" s="1" t="str">
        <f>VLOOKUP(InputData[[#This Row],[CUSTOMER NAME]],Country[],2,0)</f>
        <v>Russia</v>
      </c>
      <c r="H179" s="1" t="str">
        <f>VLOOKUP(InputData[[#This Row],[CUSTOMER NAME]],Country[],3,0)</f>
        <v>Export</v>
      </c>
      <c r="I179" s="1" t="str">
        <f>TEXT(InputData[[#This Row],[DATE]],"mmmm")</f>
        <v>March</v>
      </c>
      <c r="J179" s="1" t="str">
        <f>TEXT(InputData[[#This Row],[DATE]],"ddd")</f>
        <v>Wed</v>
      </c>
      <c r="K179" s="14">
        <f>WEEKNUM(InputData[[#This Row],[DATE]])</f>
        <v>11</v>
      </c>
      <c r="N179"/>
      <c r="R179" s="3" t="s">
        <v>49</v>
      </c>
      <c r="S179" s="1" t="str">
        <f t="shared" si="4"/>
        <v>Baxter &amp; Kline Supplies</v>
      </c>
      <c r="V179"/>
      <c r="Z179" s="11" t="s">
        <v>33</v>
      </c>
      <c r="AA179" s="1" t="str">
        <f t="shared" si="5"/>
        <v>Shelf Bracket 200mm</v>
      </c>
      <c r="AF179"/>
    </row>
    <row r="180" spans="1:32" x14ac:dyDescent="0.3">
      <c r="A180" s="10">
        <v>44266</v>
      </c>
      <c r="B180" s="3" t="s">
        <v>159</v>
      </c>
      <c r="C180" s="11" t="s">
        <v>260</v>
      </c>
      <c r="D180" s="12">
        <v>117.48</v>
      </c>
      <c r="E180" s="1">
        <v>8</v>
      </c>
      <c r="F180" s="13">
        <f>InputData[[#This Row],[QUANTITY]]*InputData[[#This Row],[UNIT PRICE (R)]]</f>
        <v>939.84</v>
      </c>
      <c r="G180" s="1" t="str">
        <f>VLOOKUP(InputData[[#This Row],[CUSTOMER NAME]],Country[],2,0)</f>
        <v>Saudi Arabia</v>
      </c>
      <c r="H180" s="1" t="str">
        <f>VLOOKUP(InputData[[#This Row],[CUSTOMER NAME]],Country[],3,0)</f>
        <v>Export</v>
      </c>
      <c r="I180" s="1" t="str">
        <f>TEXT(InputData[[#This Row],[DATE]],"mmmm")</f>
        <v>March</v>
      </c>
      <c r="J180" s="1" t="str">
        <f>TEXT(InputData[[#This Row],[DATE]],"ddd")</f>
        <v>Thu</v>
      </c>
      <c r="K180" s="14">
        <f>WEEKNUM(InputData[[#This Row],[DATE]])</f>
        <v>11</v>
      </c>
      <c r="N180"/>
      <c r="R180" s="3" t="s">
        <v>63</v>
      </c>
      <c r="S180" s="1" t="str">
        <f t="shared" si="4"/>
        <v>Ovenden &amp; Sons</v>
      </c>
      <c r="V180"/>
      <c r="Z180" s="11" t="s">
        <v>2</v>
      </c>
      <c r="AA180" s="1" t="str">
        <f t="shared" si="5"/>
        <v>Hex Bolt M10</v>
      </c>
      <c r="AF180"/>
    </row>
    <row r="181" spans="1:32" x14ac:dyDescent="0.3">
      <c r="A181" s="10">
        <v>44266</v>
      </c>
      <c r="B181" s="3" t="s">
        <v>160</v>
      </c>
      <c r="C181" s="11" t="s">
        <v>253</v>
      </c>
      <c r="D181" s="12">
        <v>8.33</v>
      </c>
      <c r="E181" s="1">
        <v>11</v>
      </c>
      <c r="F181" s="13">
        <f>InputData[[#This Row],[QUANTITY]]*InputData[[#This Row],[UNIT PRICE (R)]]</f>
        <v>91.63</v>
      </c>
      <c r="G181" s="1" t="str">
        <f>VLOOKUP(InputData[[#This Row],[CUSTOMER NAME]],Country[],2,0)</f>
        <v>India</v>
      </c>
      <c r="H181" s="1" t="str">
        <f>VLOOKUP(InputData[[#This Row],[CUSTOMER NAME]],Country[],3,0)</f>
        <v>Western</v>
      </c>
      <c r="I181" s="1" t="str">
        <f>TEXT(InputData[[#This Row],[DATE]],"mmmm")</f>
        <v>March</v>
      </c>
      <c r="J181" s="1" t="str">
        <f>TEXT(InputData[[#This Row],[DATE]],"ddd")</f>
        <v>Thu</v>
      </c>
      <c r="K181" s="14">
        <f>WEEKNUM(InputData[[#This Row],[DATE]])</f>
        <v>11</v>
      </c>
      <c r="N181"/>
      <c r="R181" s="3" t="s">
        <v>64</v>
      </c>
      <c r="S181" s="1" t="str">
        <f t="shared" si="4"/>
        <v>Ridgeway Commercial</v>
      </c>
      <c r="V181"/>
      <c r="Z181" s="11" t="s">
        <v>32</v>
      </c>
      <c r="AA181" s="1" t="str">
        <f t="shared" si="5"/>
        <v>Corner Bracket 50mm</v>
      </c>
      <c r="AF181"/>
    </row>
    <row r="182" spans="1:32" x14ac:dyDescent="0.3">
      <c r="A182" s="10">
        <v>44266</v>
      </c>
      <c r="B182" s="3" t="s">
        <v>171</v>
      </c>
      <c r="C182" s="11" t="s">
        <v>240</v>
      </c>
      <c r="D182" s="12">
        <v>94.17</v>
      </c>
      <c r="E182" s="1">
        <v>36</v>
      </c>
      <c r="F182" s="13">
        <f>InputData[[#This Row],[QUANTITY]]*InputData[[#This Row],[UNIT PRICE (R)]]</f>
        <v>3390.12</v>
      </c>
      <c r="G182" s="1" t="str">
        <f>VLOOKUP(InputData[[#This Row],[CUSTOMER NAME]],Country[],2,0)</f>
        <v>India</v>
      </c>
      <c r="H182" s="1" t="str">
        <f>VLOOKUP(InputData[[#This Row],[CUSTOMER NAME]],Country[],3,0)</f>
        <v>South</v>
      </c>
      <c r="I182" s="1" t="str">
        <f>TEXT(InputData[[#This Row],[DATE]],"mmmm")</f>
        <v>March</v>
      </c>
      <c r="J182" s="1" t="str">
        <f>TEXT(InputData[[#This Row],[DATE]],"ddd")</f>
        <v>Thu</v>
      </c>
      <c r="K182" s="14">
        <f>WEEKNUM(InputData[[#This Row],[DATE]])</f>
        <v>11</v>
      </c>
      <c r="N182"/>
      <c r="R182" s="3" t="s">
        <v>65</v>
      </c>
      <c r="S182" s="1" t="str">
        <f t="shared" si="4"/>
        <v>Talbot Street Merchants</v>
      </c>
      <c r="V182"/>
      <c r="Z182" s="11" t="s">
        <v>25</v>
      </c>
      <c r="AA182" s="1" t="str">
        <f t="shared" si="5"/>
        <v>Turnbuckle M8</v>
      </c>
      <c r="AF182"/>
    </row>
    <row r="183" spans="1:32" x14ac:dyDescent="0.3">
      <c r="A183" s="10">
        <v>44268</v>
      </c>
      <c r="B183" s="3" t="s">
        <v>151</v>
      </c>
      <c r="C183" s="11" t="s">
        <v>263</v>
      </c>
      <c r="D183" s="12">
        <v>6.7</v>
      </c>
      <c r="E183" s="1">
        <v>10</v>
      </c>
      <c r="F183" s="13">
        <f>InputData[[#This Row],[QUANTITY]]*InputData[[#This Row],[UNIT PRICE (R)]]</f>
        <v>67</v>
      </c>
      <c r="G183" s="1" t="str">
        <f>VLOOKUP(InputData[[#This Row],[CUSTOMER NAME]],Country[],2,0)</f>
        <v>Russia</v>
      </c>
      <c r="H183" s="1" t="str">
        <f>VLOOKUP(InputData[[#This Row],[CUSTOMER NAME]],Country[],3,0)</f>
        <v>Export</v>
      </c>
      <c r="I183" s="1" t="str">
        <f>TEXT(InputData[[#This Row],[DATE]],"mmmm")</f>
        <v>March</v>
      </c>
      <c r="J183" s="1" t="str">
        <f>TEXT(InputData[[#This Row],[DATE]],"ddd")</f>
        <v>Sat</v>
      </c>
      <c r="K183" s="14">
        <f>WEEKNUM(InputData[[#This Row],[DATE]])</f>
        <v>11</v>
      </c>
      <c r="N183"/>
      <c r="R183" s="3" t="s">
        <v>76</v>
      </c>
      <c r="S183" s="1" t="str">
        <f t="shared" si="4"/>
        <v>Overton Retail Solutions</v>
      </c>
      <c r="V183"/>
      <c r="Z183" s="11" t="s">
        <v>12</v>
      </c>
      <c r="AA183" s="1" t="str">
        <f t="shared" si="5"/>
        <v>Drywall Screw 30mm</v>
      </c>
      <c r="AF183"/>
    </row>
    <row r="184" spans="1:32" x14ac:dyDescent="0.3">
      <c r="A184" s="10">
        <v>44268</v>
      </c>
      <c r="B184" s="3" t="s">
        <v>156</v>
      </c>
      <c r="C184" s="11" t="s">
        <v>256</v>
      </c>
      <c r="D184" s="12">
        <v>41.81</v>
      </c>
      <c r="E184" s="1">
        <v>10</v>
      </c>
      <c r="F184" s="13">
        <f>InputData[[#This Row],[QUANTITY]]*InputData[[#This Row],[UNIT PRICE (R)]]</f>
        <v>418.1</v>
      </c>
      <c r="G184" s="1" t="str">
        <f>VLOOKUP(InputData[[#This Row],[CUSTOMER NAME]],Country[],2,0)</f>
        <v>India</v>
      </c>
      <c r="H184" s="1" t="str">
        <f>VLOOKUP(InputData[[#This Row],[CUSTOMER NAME]],Country[],3,0)</f>
        <v>East</v>
      </c>
      <c r="I184" s="1" t="str">
        <f>TEXT(InputData[[#This Row],[DATE]],"mmmm")</f>
        <v>March</v>
      </c>
      <c r="J184" s="1" t="str">
        <f>TEXT(InputData[[#This Row],[DATE]],"ddd")</f>
        <v>Sat</v>
      </c>
      <c r="K184" s="14">
        <f>WEEKNUM(InputData[[#This Row],[DATE]])</f>
        <v>11</v>
      </c>
      <c r="N184"/>
      <c r="R184" s="3" t="s">
        <v>56</v>
      </c>
      <c r="S184" s="1" t="str">
        <f t="shared" si="4"/>
        <v>Northgate Industries</v>
      </c>
      <c r="V184"/>
      <c r="Z184" s="11" t="s">
        <v>35</v>
      </c>
      <c r="AA184" s="1" t="str">
        <f t="shared" si="5"/>
        <v>T-Bracket 100mm</v>
      </c>
      <c r="AF184"/>
    </row>
    <row r="185" spans="1:32" x14ac:dyDescent="0.3">
      <c r="A185" s="10">
        <v>44269</v>
      </c>
      <c r="B185" s="3" t="s">
        <v>146</v>
      </c>
      <c r="C185" s="11" t="s">
        <v>250</v>
      </c>
      <c r="D185" s="12">
        <v>141.57</v>
      </c>
      <c r="E185" s="1">
        <v>15</v>
      </c>
      <c r="F185" s="13">
        <f>InputData[[#This Row],[QUANTITY]]*InputData[[#This Row],[UNIT PRICE (R)]]</f>
        <v>2123.5499999999997</v>
      </c>
      <c r="G185" s="1" t="str">
        <f>VLOOKUP(InputData[[#This Row],[CUSTOMER NAME]],Country[],2,0)</f>
        <v>Saudi Arabia</v>
      </c>
      <c r="H185" s="1" t="str">
        <f>VLOOKUP(InputData[[#This Row],[CUSTOMER NAME]],Country[],3,0)</f>
        <v>Export</v>
      </c>
      <c r="I185" s="1" t="str">
        <f>TEXT(InputData[[#This Row],[DATE]],"mmmm")</f>
        <v>March</v>
      </c>
      <c r="J185" s="1" t="str">
        <f>TEXT(InputData[[#This Row],[DATE]],"ddd")</f>
        <v>Sun</v>
      </c>
      <c r="K185" s="14">
        <f>WEEKNUM(InputData[[#This Row],[DATE]])</f>
        <v>12</v>
      </c>
      <c r="N185"/>
      <c r="R185" s="3" t="s">
        <v>61</v>
      </c>
      <c r="S185" s="1" t="str">
        <f t="shared" si="4"/>
        <v>Fairstone Retail Group</v>
      </c>
      <c r="V185"/>
      <c r="Z185" s="11" t="s">
        <v>28</v>
      </c>
      <c r="AA185" s="1" t="str">
        <f t="shared" si="5"/>
        <v>Cabinet Hinge 75mm</v>
      </c>
      <c r="AF185"/>
    </row>
    <row r="186" spans="1:32" x14ac:dyDescent="0.3">
      <c r="A186" s="10">
        <v>44269</v>
      </c>
      <c r="B186" s="3" t="s">
        <v>157</v>
      </c>
      <c r="C186" s="11" t="s">
        <v>244</v>
      </c>
      <c r="D186" s="12">
        <v>16.64</v>
      </c>
      <c r="E186" s="1">
        <v>2</v>
      </c>
      <c r="F186" s="13">
        <f>InputData[[#This Row],[QUANTITY]]*InputData[[#This Row],[UNIT PRICE (R)]]</f>
        <v>33.28</v>
      </c>
      <c r="G186" s="1" t="str">
        <f>VLOOKUP(InputData[[#This Row],[CUSTOMER NAME]],Country[],2,0)</f>
        <v>Brazil</v>
      </c>
      <c r="H186" s="1" t="str">
        <f>VLOOKUP(InputData[[#This Row],[CUSTOMER NAME]],Country[],3,0)</f>
        <v>Export</v>
      </c>
      <c r="I186" s="1" t="str">
        <f>TEXT(InputData[[#This Row],[DATE]],"mmmm")</f>
        <v>March</v>
      </c>
      <c r="J186" s="1" t="str">
        <f>TEXT(InputData[[#This Row],[DATE]],"ddd")</f>
        <v>Sun</v>
      </c>
      <c r="K186" s="14">
        <f>WEEKNUM(InputData[[#This Row],[DATE]])</f>
        <v>12</v>
      </c>
      <c r="N186"/>
      <c r="R186" s="3" t="s">
        <v>51</v>
      </c>
      <c r="S186" s="1" t="str">
        <f t="shared" si="4"/>
        <v>Coastal Fittings Ltd</v>
      </c>
      <c r="V186"/>
      <c r="Z186" s="11" t="s">
        <v>22</v>
      </c>
      <c r="AA186" s="1" t="str">
        <f t="shared" si="5"/>
        <v>Hose Clamp 32mm</v>
      </c>
      <c r="AF186"/>
    </row>
    <row r="187" spans="1:32" x14ac:dyDescent="0.3">
      <c r="A187" s="10">
        <v>44269</v>
      </c>
      <c r="B187" s="3" t="s">
        <v>162</v>
      </c>
      <c r="C187" s="11" t="s">
        <v>270</v>
      </c>
      <c r="D187" s="12">
        <v>162</v>
      </c>
      <c r="E187" s="1">
        <v>32</v>
      </c>
      <c r="F187" s="13">
        <f>InputData[[#This Row],[QUANTITY]]*InputData[[#This Row],[UNIT PRICE (R)]]</f>
        <v>5184</v>
      </c>
      <c r="G187" s="1" t="str">
        <f>VLOOKUP(InputData[[#This Row],[CUSTOMER NAME]],Country[],2,0)</f>
        <v>United Kingdom</v>
      </c>
      <c r="H187" s="1" t="str">
        <f>VLOOKUP(InputData[[#This Row],[CUSTOMER NAME]],Country[],3,0)</f>
        <v>Export</v>
      </c>
      <c r="I187" s="1" t="str">
        <f>TEXT(InputData[[#This Row],[DATE]],"mmmm")</f>
        <v>March</v>
      </c>
      <c r="J187" s="1" t="str">
        <f>TEXT(InputData[[#This Row],[DATE]],"ddd")</f>
        <v>Sun</v>
      </c>
      <c r="K187" s="14">
        <f>WEEKNUM(InputData[[#This Row],[DATE]])</f>
        <v>12</v>
      </c>
      <c r="N187"/>
      <c r="R187" s="3" t="s">
        <v>62</v>
      </c>
      <c r="S187" s="1" t="str">
        <f t="shared" si="4"/>
        <v>Marchbank Traders</v>
      </c>
      <c r="V187"/>
      <c r="Z187" s="11" t="s">
        <v>16</v>
      </c>
      <c r="AA187" s="1" t="str">
        <f t="shared" si="5"/>
        <v>Blind Rivet 6mm</v>
      </c>
      <c r="AF187"/>
    </row>
    <row r="188" spans="1:32" x14ac:dyDescent="0.3">
      <c r="A188" s="10">
        <v>44269</v>
      </c>
      <c r="B188" s="3" t="s">
        <v>181</v>
      </c>
      <c r="C188" s="11" t="s">
        <v>254</v>
      </c>
      <c r="D188" s="12">
        <v>24.66</v>
      </c>
      <c r="E188" s="1">
        <v>13</v>
      </c>
      <c r="F188" s="13">
        <f>InputData[[#This Row],[QUANTITY]]*InputData[[#This Row],[UNIT PRICE (R)]]</f>
        <v>320.58</v>
      </c>
      <c r="G188" s="1" t="str">
        <f>VLOOKUP(InputData[[#This Row],[CUSTOMER NAME]],Country[],2,0)</f>
        <v>Germany</v>
      </c>
      <c r="H188" s="1" t="str">
        <f>VLOOKUP(InputData[[#This Row],[CUSTOMER NAME]],Country[],3,0)</f>
        <v>Export</v>
      </c>
      <c r="I188" s="1" t="str">
        <f>TEXT(InputData[[#This Row],[DATE]],"mmmm")</f>
        <v>March</v>
      </c>
      <c r="J188" s="1" t="str">
        <f>TEXT(InputData[[#This Row],[DATE]],"ddd")</f>
        <v>Sun</v>
      </c>
      <c r="K188" s="14">
        <f>WEEKNUM(InputData[[#This Row],[DATE]])</f>
        <v>12</v>
      </c>
      <c r="N188"/>
      <c r="R188" s="3" t="s">
        <v>67</v>
      </c>
      <c r="S188" s="1" t="str">
        <f t="shared" si="4"/>
        <v>Ironbridge Trading Co.</v>
      </c>
      <c r="V188"/>
      <c r="Z188" s="11" t="s">
        <v>42</v>
      </c>
      <c r="AA188" s="1" t="str">
        <f t="shared" si="5"/>
        <v>PVC Coupling 25mm</v>
      </c>
      <c r="AF188"/>
    </row>
    <row r="189" spans="1:32" x14ac:dyDescent="0.3">
      <c r="A189" s="10">
        <v>44270</v>
      </c>
      <c r="B189" s="3" t="s">
        <v>156</v>
      </c>
      <c r="C189" s="11" t="s">
        <v>264</v>
      </c>
      <c r="D189" s="12">
        <v>96.3</v>
      </c>
      <c r="E189" s="1">
        <v>9</v>
      </c>
      <c r="F189" s="13">
        <f>InputData[[#This Row],[QUANTITY]]*InputData[[#This Row],[UNIT PRICE (R)]]</f>
        <v>866.69999999999993</v>
      </c>
      <c r="G189" s="1" t="str">
        <f>VLOOKUP(InputData[[#This Row],[CUSTOMER NAME]],Country[],2,0)</f>
        <v>India</v>
      </c>
      <c r="H189" s="1" t="str">
        <f>VLOOKUP(InputData[[#This Row],[CUSTOMER NAME]],Country[],3,0)</f>
        <v>East</v>
      </c>
      <c r="I189" s="1" t="str">
        <f>TEXT(InputData[[#This Row],[DATE]],"mmmm")</f>
        <v>March</v>
      </c>
      <c r="J189" s="1" t="str">
        <f>TEXT(InputData[[#This Row],[DATE]],"ddd")</f>
        <v>Mon</v>
      </c>
      <c r="K189" s="14">
        <f>WEEKNUM(InputData[[#This Row],[DATE]])</f>
        <v>12</v>
      </c>
      <c r="N189"/>
      <c r="R189" s="3" t="s">
        <v>103</v>
      </c>
      <c r="S189" s="1" t="str">
        <f t="shared" si="4"/>
        <v>Vesterly Traders</v>
      </c>
      <c r="V189"/>
      <c r="Z189" s="11" t="s">
        <v>26</v>
      </c>
      <c r="AA189" s="1" t="str">
        <f t="shared" si="5"/>
        <v>Chain Link 6mm</v>
      </c>
      <c r="AF189"/>
    </row>
    <row r="190" spans="1:32" x14ac:dyDescent="0.3">
      <c r="A190" s="10">
        <v>44270</v>
      </c>
      <c r="B190" s="3" t="s">
        <v>164</v>
      </c>
      <c r="C190" s="11" t="s">
        <v>267</v>
      </c>
      <c r="D190" s="12">
        <v>42.55</v>
      </c>
      <c r="E190" s="1">
        <v>11</v>
      </c>
      <c r="F190" s="13">
        <f>InputData[[#This Row],[QUANTITY]]*InputData[[#This Row],[UNIT PRICE (R)]]</f>
        <v>468.04999999999995</v>
      </c>
      <c r="G190" s="1" t="str">
        <f>VLOOKUP(InputData[[#This Row],[CUSTOMER NAME]],Country[],2,0)</f>
        <v>India</v>
      </c>
      <c r="H190" s="1" t="str">
        <f>VLOOKUP(InputData[[#This Row],[CUSTOMER NAME]],Country[],3,0)</f>
        <v>East</v>
      </c>
      <c r="I190" s="1" t="str">
        <f>TEXT(InputData[[#This Row],[DATE]],"mmmm")</f>
        <v>March</v>
      </c>
      <c r="J190" s="1" t="str">
        <f>TEXT(InputData[[#This Row],[DATE]],"ddd")</f>
        <v>Mon</v>
      </c>
      <c r="K190" s="14">
        <f>WEEKNUM(InputData[[#This Row],[DATE]])</f>
        <v>12</v>
      </c>
      <c r="N190"/>
      <c r="R190" s="3" t="s">
        <v>61</v>
      </c>
      <c r="S190" s="1" t="str">
        <f t="shared" si="4"/>
        <v>Fairstone Retail Group</v>
      </c>
      <c r="V190"/>
      <c r="Z190" s="11" t="s">
        <v>36</v>
      </c>
      <c r="AA190" s="1" t="str">
        <f t="shared" si="5"/>
        <v>Mending Plate 100mm</v>
      </c>
      <c r="AF190"/>
    </row>
    <row r="191" spans="1:32" x14ac:dyDescent="0.3">
      <c r="A191" s="10">
        <v>44271</v>
      </c>
      <c r="B191" s="3" t="s">
        <v>146</v>
      </c>
      <c r="C191" s="11" t="s">
        <v>240</v>
      </c>
      <c r="D191" s="12">
        <v>94.17</v>
      </c>
      <c r="E191" s="1">
        <v>14</v>
      </c>
      <c r="F191" s="13">
        <f>InputData[[#This Row],[QUANTITY]]*InputData[[#This Row],[UNIT PRICE (R)]]</f>
        <v>1318.38</v>
      </c>
      <c r="G191" s="1" t="str">
        <f>VLOOKUP(InputData[[#This Row],[CUSTOMER NAME]],Country[],2,0)</f>
        <v>Saudi Arabia</v>
      </c>
      <c r="H191" s="1" t="str">
        <f>VLOOKUP(InputData[[#This Row],[CUSTOMER NAME]],Country[],3,0)</f>
        <v>Export</v>
      </c>
      <c r="I191" s="1" t="str">
        <f>TEXT(InputData[[#This Row],[DATE]],"mmmm")</f>
        <v>March</v>
      </c>
      <c r="J191" s="1" t="str">
        <f>TEXT(InputData[[#This Row],[DATE]],"ddd")</f>
        <v>Tue</v>
      </c>
      <c r="K191" s="14">
        <f>WEEKNUM(InputData[[#This Row],[DATE]])</f>
        <v>12</v>
      </c>
      <c r="N191"/>
      <c r="R191" s="3" t="s">
        <v>69</v>
      </c>
      <c r="S191" s="1" t="str">
        <f t="shared" si="4"/>
        <v>Southcote Industries</v>
      </c>
      <c r="V191"/>
      <c r="Z191" s="11" t="s">
        <v>39</v>
      </c>
      <c r="AA191" s="1" t="str">
        <f t="shared" si="5"/>
        <v>Cable Clip 20mm</v>
      </c>
      <c r="AF191"/>
    </row>
    <row r="192" spans="1:32" x14ac:dyDescent="0.3">
      <c r="A192" s="10">
        <v>44271</v>
      </c>
      <c r="B192" s="3" t="s">
        <v>172</v>
      </c>
      <c r="C192" s="11" t="s">
        <v>250</v>
      </c>
      <c r="D192" s="12">
        <v>141.57</v>
      </c>
      <c r="E192" s="1">
        <v>29</v>
      </c>
      <c r="F192" s="13">
        <f>InputData[[#This Row],[QUANTITY]]*InputData[[#This Row],[UNIT PRICE (R)]]</f>
        <v>4105.53</v>
      </c>
      <c r="G192" s="1" t="str">
        <f>VLOOKUP(InputData[[#This Row],[CUSTOMER NAME]],Country[],2,0)</f>
        <v>Mexico</v>
      </c>
      <c r="H192" s="1" t="str">
        <f>VLOOKUP(InputData[[#This Row],[CUSTOMER NAME]],Country[],3,0)</f>
        <v>Export</v>
      </c>
      <c r="I192" s="1" t="str">
        <f>TEXT(InputData[[#This Row],[DATE]],"mmmm")</f>
        <v>March</v>
      </c>
      <c r="J192" s="1" t="str">
        <f>TEXT(InputData[[#This Row],[DATE]],"ddd")</f>
        <v>Tue</v>
      </c>
      <c r="K192" s="14">
        <f>WEEKNUM(InputData[[#This Row],[DATE]])</f>
        <v>12</v>
      </c>
      <c r="N192"/>
      <c r="R192" s="3" t="s">
        <v>51</v>
      </c>
      <c r="S192" s="1" t="str">
        <f t="shared" si="4"/>
        <v>Coastal Fittings Ltd</v>
      </c>
      <c r="V192"/>
      <c r="Z192" s="11" t="s">
        <v>12</v>
      </c>
      <c r="AA192" s="1" t="str">
        <f t="shared" si="5"/>
        <v>Drywall Screw 30mm</v>
      </c>
      <c r="AF192"/>
    </row>
    <row r="193" spans="1:32" x14ac:dyDescent="0.3">
      <c r="A193" s="10">
        <v>44273</v>
      </c>
      <c r="B193" s="3" t="s">
        <v>146</v>
      </c>
      <c r="C193" s="11" t="s">
        <v>270</v>
      </c>
      <c r="D193" s="12">
        <v>162</v>
      </c>
      <c r="E193" s="1">
        <v>8</v>
      </c>
      <c r="F193" s="13">
        <f>InputData[[#This Row],[QUANTITY]]*InputData[[#This Row],[UNIT PRICE (R)]]</f>
        <v>1296</v>
      </c>
      <c r="G193" s="1" t="str">
        <f>VLOOKUP(InputData[[#This Row],[CUSTOMER NAME]],Country[],2,0)</f>
        <v>Saudi Arabia</v>
      </c>
      <c r="H193" s="1" t="str">
        <f>VLOOKUP(InputData[[#This Row],[CUSTOMER NAME]],Country[],3,0)</f>
        <v>Export</v>
      </c>
      <c r="I193" s="1" t="str">
        <f>TEXT(InputData[[#This Row],[DATE]],"mmmm")</f>
        <v>March</v>
      </c>
      <c r="J193" s="1" t="str">
        <f>TEXT(InputData[[#This Row],[DATE]],"ddd")</f>
        <v>Thu</v>
      </c>
      <c r="K193" s="14">
        <f>WEEKNUM(InputData[[#This Row],[DATE]])</f>
        <v>12</v>
      </c>
      <c r="N193"/>
      <c r="R193" s="3" t="s">
        <v>77</v>
      </c>
      <c r="S193" s="1" t="str">
        <f t="shared" si="4"/>
        <v>Fenwick Traders</v>
      </c>
      <c r="V193"/>
      <c r="Z193" s="11" t="s">
        <v>22</v>
      </c>
      <c r="AA193" s="1" t="str">
        <f t="shared" si="5"/>
        <v>Hose Clamp 32mm</v>
      </c>
      <c r="AF193"/>
    </row>
    <row r="194" spans="1:32" x14ac:dyDescent="0.3">
      <c r="A194" s="10">
        <v>44273</v>
      </c>
      <c r="B194" s="3" t="s">
        <v>150</v>
      </c>
      <c r="C194" s="11" t="s">
        <v>247</v>
      </c>
      <c r="D194" s="12">
        <v>210</v>
      </c>
      <c r="E194" s="1">
        <v>2</v>
      </c>
      <c r="F194" s="13">
        <f>InputData[[#This Row],[QUANTITY]]*InputData[[#This Row],[UNIT PRICE (R)]]</f>
        <v>420</v>
      </c>
      <c r="G194" s="1" t="str">
        <f>VLOOKUP(InputData[[#This Row],[CUSTOMER NAME]],Country[],2,0)</f>
        <v>United Kingdom</v>
      </c>
      <c r="H194" s="1" t="str">
        <f>VLOOKUP(InputData[[#This Row],[CUSTOMER NAME]],Country[],3,0)</f>
        <v>Export</v>
      </c>
      <c r="I194" s="1" t="str">
        <f>TEXT(InputData[[#This Row],[DATE]],"mmmm")</f>
        <v>March</v>
      </c>
      <c r="J194" s="1" t="str">
        <f>TEXT(InputData[[#This Row],[DATE]],"ddd")</f>
        <v>Thu</v>
      </c>
      <c r="K194" s="14">
        <f>WEEKNUM(InputData[[#This Row],[DATE]])</f>
        <v>12</v>
      </c>
      <c r="N194"/>
      <c r="R194" s="3" t="s">
        <v>51</v>
      </c>
      <c r="S194" s="1" t="str">
        <f t="shared" si="4"/>
        <v>Coastal Fittings Ltd</v>
      </c>
      <c r="V194"/>
      <c r="Z194" s="11" t="s">
        <v>42</v>
      </c>
      <c r="AA194" s="1" t="str">
        <f t="shared" si="5"/>
        <v>PVC Coupling 25mm</v>
      </c>
      <c r="AF194"/>
    </row>
    <row r="195" spans="1:32" x14ac:dyDescent="0.3">
      <c r="A195" s="10">
        <v>44273</v>
      </c>
      <c r="B195" s="3" t="s">
        <v>151</v>
      </c>
      <c r="C195" s="11" t="s">
        <v>255</v>
      </c>
      <c r="D195" s="12">
        <v>57.120000000000005</v>
      </c>
      <c r="E195" s="1">
        <v>10</v>
      </c>
      <c r="F195" s="13">
        <f>InputData[[#This Row],[QUANTITY]]*InputData[[#This Row],[UNIT PRICE (R)]]</f>
        <v>571.20000000000005</v>
      </c>
      <c r="G195" s="1" t="str">
        <f>VLOOKUP(InputData[[#This Row],[CUSTOMER NAME]],Country[],2,0)</f>
        <v>Russia</v>
      </c>
      <c r="H195" s="1" t="str">
        <f>VLOOKUP(InputData[[#This Row],[CUSTOMER NAME]],Country[],3,0)</f>
        <v>Export</v>
      </c>
      <c r="I195" s="1" t="str">
        <f>TEXT(InputData[[#This Row],[DATE]],"mmmm")</f>
        <v>March</v>
      </c>
      <c r="J195" s="1" t="str">
        <f>TEXT(InputData[[#This Row],[DATE]],"ddd")</f>
        <v>Thu</v>
      </c>
      <c r="K195" s="14">
        <f>WEEKNUM(InputData[[#This Row],[DATE]])</f>
        <v>12</v>
      </c>
      <c r="N195"/>
      <c r="R195" s="3" t="s">
        <v>55</v>
      </c>
      <c r="S195" s="1" t="str">
        <f t="shared" si="4"/>
        <v>Silverline Wholesalers</v>
      </c>
      <c r="V195"/>
      <c r="Z195" s="11" t="s">
        <v>19</v>
      </c>
      <c r="AA195" s="1" t="str">
        <f t="shared" si="5"/>
        <v>Anchor Bolt M10</v>
      </c>
      <c r="AF195"/>
    </row>
    <row r="196" spans="1:32" x14ac:dyDescent="0.3">
      <c r="A196" s="10">
        <v>44274</v>
      </c>
      <c r="B196" s="3" t="s">
        <v>148</v>
      </c>
      <c r="C196" s="11" t="s">
        <v>267</v>
      </c>
      <c r="D196" s="12">
        <v>42.55</v>
      </c>
      <c r="E196" s="1">
        <v>18</v>
      </c>
      <c r="F196" s="13">
        <f>InputData[[#This Row],[QUANTITY]]*InputData[[#This Row],[UNIT PRICE (R)]]</f>
        <v>765.9</v>
      </c>
      <c r="G196" s="1" t="str">
        <f>VLOOKUP(InputData[[#This Row],[CUSTOMER NAME]],Country[],2,0)</f>
        <v>Pakistan</v>
      </c>
      <c r="H196" s="1" t="str">
        <f>VLOOKUP(InputData[[#This Row],[CUSTOMER NAME]],Country[],3,0)</f>
        <v>Export</v>
      </c>
      <c r="I196" s="1" t="str">
        <f>TEXT(InputData[[#This Row],[DATE]],"mmmm")</f>
        <v>March</v>
      </c>
      <c r="J196" s="1" t="str">
        <f>TEXT(InputData[[#This Row],[DATE]],"ddd")</f>
        <v>Fri</v>
      </c>
      <c r="K196" s="14">
        <f>WEEKNUM(InputData[[#This Row],[DATE]])</f>
        <v>12</v>
      </c>
      <c r="N196"/>
      <c r="R196" s="3" t="s">
        <v>56</v>
      </c>
      <c r="S196" s="1" t="str">
        <f t="shared" si="4"/>
        <v>Northgate Industries</v>
      </c>
      <c r="V196"/>
      <c r="Z196" s="11" t="s">
        <v>27</v>
      </c>
      <c r="AA196" s="1" t="str">
        <f t="shared" si="5"/>
        <v>Padlock Hasp 100mm</v>
      </c>
      <c r="AF196"/>
    </row>
    <row r="197" spans="1:32" x14ac:dyDescent="0.3">
      <c r="A197" s="10">
        <v>44274</v>
      </c>
      <c r="B197" s="3" t="s">
        <v>157</v>
      </c>
      <c r="C197" s="11" t="s">
        <v>234</v>
      </c>
      <c r="D197" s="12">
        <v>85.5</v>
      </c>
      <c r="E197" s="1">
        <v>17</v>
      </c>
      <c r="F197" s="13">
        <f>InputData[[#This Row],[QUANTITY]]*InputData[[#This Row],[UNIT PRICE (R)]]</f>
        <v>1453.5</v>
      </c>
      <c r="G197" s="1" t="str">
        <f>VLOOKUP(InputData[[#This Row],[CUSTOMER NAME]],Country[],2,0)</f>
        <v>Brazil</v>
      </c>
      <c r="H197" s="1" t="str">
        <f>VLOOKUP(InputData[[#This Row],[CUSTOMER NAME]],Country[],3,0)</f>
        <v>Export</v>
      </c>
      <c r="I197" s="1" t="str">
        <f>TEXT(InputData[[#This Row],[DATE]],"mmmm")</f>
        <v>March</v>
      </c>
      <c r="J197" s="1" t="str">
        <f>TEXT(InputData[[#This Row],[DATE]],"ddd")</f>
        <v>Fri</v>
      </c>
      <c r="K197" s="14">
        <f>WEEKNUM(InputData[[#This Row],[DATE]])</f>
        <v>12</v>
      </c>
      <c r="N197"/>
      <c r="R197" s="3" t="s">
        <v>53</v>
      </c>
      <c r="S197" s="1" t="str">
        <f t="shared" si="4"/>
        <v>Vantage Point Retailers</v>
      </c>
      <c r="V197"/>
      <c r="Z197" s="11" t="s">
        <v>39</v>
      </c>
      <c r="AA197" s="1" t="str">
        <f t="shared" si="5"/>
        <v>Cable Clip 20mm</v>
      </c>
      <c r="AF197"/>
    </row>
    <row r="198" spans="1:32" x14ac:dyDescent="0.3">
      <c r="A198" s="10">
        <v>44274</v>
      </c>
      <c r="B198" s="3" t="s">
        <v>163</v>
      </c>
      <c r="C198" s="11" t="s">
        <v>256</v>
      </c>
      <c r="D198" s="12">
        <v>41.81</v>
      </c>
      <c r="E198" s="1">
        <v>9</v>
      </c>
      <c r="F198" s="13">
        <f>InputData[[#This Row],[QUANTITY]]*InputData[[#This Row],[UNIT PRICE (R)]]</f>
        <v>376.29</v>
      </c>
      <c r="G198" s="1" t="str">
        <f>VLOOKUP(InputData[[#This Row],[CUSTOMER NAME]],Country[],2,0)</f>
        <v>South Africa</v>
      </c>
      <c r="H198" s="1" t="str">
        <f>VLOOKUP(InputData[[#This Row],[CUSTOMER NAME]],Country[],3,0)</f>
        <v>Export</v>
      </c>
      <c r="I198" s="1" t="str">
        <f>TEXT(InputData[[#This Row],[DATE]],"mmmm")</f>
        <v>March</v>
      </c>
      <c r="J198" s="1" t="str">
        <f>TEXT(InputData[[#This Row],[DATE]],"ddd")</f>
        <v>Fri</v>
      </c>
      <c r="K198" s="14">
        <f>WEEKNUM(InputData[[#This Row],[DATE]])</f>
        <v>12</v>
      </c>
      <c r="N198"/>
      <c r="R198" s="3" t="s">
        <v>62</v>
      </c>
      <c r="S198" s="1" t="str">
        <f t="shared" si="4"/>
        <v>Marchbank Traders</v>
      </c>
      <c r="V198"/>
      <c r="Z198" s="11" t="s">
        <v>6</v>
      </c>
      <c r="AA198" s="1" t="str">
        <f t="shared" si="5"/>
        <v>Flange Nut M10</v>
      </c>
      <c r="AF198"/>
    </row>
    <row r="199" spans="1:32" x14ac:dyDescent="0.3">
      <c r="A199" s="10">
        <v>44274</v>
      </c>
      <c r="B199" s="3" t="s">
        <v>166</v>
      </c>
      <c r="C199" s="11" t="s">
        <v>234</v>
      </c>
      <c r="D199" s="12">
        <v>85.5</v>
      </c>
      <c r="E199" s="1">
        <v>17</v>
      </c>
      <c r="F199" s="13">
        <f>InputData[[#This Row],[QUANTITY]]*InputData[[#This Row],[UNIT PRICE (R)]]</f>
        <v>1453.5</v>
      </c>
      <c r="G199" s="1" t="str">
        <f>VLOOKUP(InputData[[#This Row],[CUSTOMER NAME]],Country[],2,0)</f>
        <v>India</v>
      </c>
      <c r="H199" s="1" t="str">
        <f>VLOOKUP(InputData[[#This Row],[CUSTOMER NAME]],Country[],3,0)</f>
        <v>North</v>
      </c>
      <c r="I199" s="1" t="str">
        <f>TEXT(InputData[[#This Row],[DATE]],"mmmm")</f>
        <v>March</v>
      </c>
      <c r="J199" s="1" t="str">
        <f>TEXT(InputData[[#This Row],[DATE]],"ddd")</f>
        <v>Fri</v>
      </c>
      <c r="K199" s="14">
        <f>WEEKNUM(InputData[[#This Row],[DATE]])</f>
        <v>12</v>
      </c>
      <c r="N199"/>
      <c r="R199" s="3" t="s">
        <v>68</v>
      </c>
      <c r="S199" s="1" t="str">
        <f t="shared" ref="S199:S262" si="6">_xlfn.XLOOKUP(R199,$N$5:$N$64,$O$5:$O$64,"Not Found")</f>
        <v>Delacroix Wholesale</v>
      </c>
      <c r="V199"/>
      <c r="Z199" s="11" t="s">
        <v>28</v>
      </c>
      <c r="AA199" s="1" t="str">
        <f t="shared" ref="AA199:AA262" si="7">_xlfn.XLOOKUP(Z199,$V$5:$V$48,$W$5:$W$48,"Not Found",0)</f>
        <v>Cabinet Hinge 75mm</v>
      </c>
      <c r="AF199"/>
    </row>
    <row r="200" spans="1:32" x14ac:dyDescent="0.3">
      <c r="A200" s="10">
        <v>44274</v>
      </c>
      <c r="B200" s="3" t="s">
        <v>168</v>
      </c>
      <c r="C200" s="11" t="s">
        <v>230</v>
      </c>
      <c r="D200" s="12">
        <v>142.80000000000001</v>
      </c>
      <c r="E200" s="1">
        <v>15</v>
      </c>
      <c r="F200" s="13">
        <f>InputData[[#This Row],[QUANTITY]]*InputData[[#This Row],[UNIT PRICE (R)]]</f>
        <v>2142</v>
      </c>
      <c r="G200" s="1" t="str">
        <f>VLOOKUP(InputData[[#This Row],[CUSTOMER NAME]],Country[],2,0)</f>
        <v>India</v>
      </c>
      <c r="H200" s="1" t="str">
        <f>VLOOKUP(InputData[[#This Row],[CUSTOMER NAME]],Country[],3,0)</f>
        <v>Northeast</v>
      </c>
      <c r="I200" s="1" t="str">
        <f>TEXT(InputData[[#This Row],[DATE]],"mmmm")</f>
        <v>March</v>
      </c>
      <c r="J200" s="1" t="str">
        <f>TEXT(InputData[[#This Row],[DATE]],"ddd")</f>
        <v>Fri</v>
      </c>
      <c r="K200" s="14">
        <f>WEEKNUM(InputData[[#This Row],[DATE]])</f>
        <v>12</v>
      </c>
      <c r="N200"/>
      <c r="R200" s="3" t="s">
        <v>71</v>
      </c>
      <c r="S200" s="1" t="str">
        <f t="shared" si="6"/>
        <v>Blackfriars Supply</v>
      </c>
      <c r="V200"/>
      <c r="Z200" s="11" t="s">
        <v>6</v>
      </c>
      <c r="AA200" s="1" t="str">
        <f t="shared" si="7"/>
        <v>Flange Nut M10</v>
      </c>
      <c r="AF200"/>
    </row>
    <row r="201" spans="1:32" x14ac:dyDescent="0.3">
      <c r="A201" s="10">
        <v>44274</v>
      </c>
      <c r="B201" s="3" t="s">
        <v>169</v>
      </c>
      <c r="C201" s="11" t="s">
        <v>269</v>
      </c>
      <c r="D201" s="12">
        <v>173.88</v>
      </c>
      <c r="E201" s="1">
        <v>6</v>
      </c>
      <c r="F201" s="13">
        <f>InputData[[#This Row],[QUANTITY]]*InputData[[#This Row],[UNIT PRICE (R)]]</f>
        <v>1043.28</v>
      </c>
      <c r="G201" s="1" t="str">
        <f>VLOOKUP(InputData[[#This Row],[CUSTOMER NAME]],Country[],2,0)</f>
        <v>India</v>
      </c>
      <c r="H201" s="1" t="str">
        <f>VLOOKUP(InputData[[#This Row],[CUSTOMER NAME]],Country[],3,0)</f>
        <v>South</v>
      </c>
      <c r="I201" s="1" t="str">
        <f>TEXT(InputData[[#This Row],[DATE]],"mmmm")</f>
        <v>March</v>
      </c>
      <c r="J201" s="1" t="str">
        <f>TEXT(InputData[[#This Row],[DATE]],"ddd")</f>
        <v>Fri</v>
      </c>
      <c r="K201" s="14">
        <f>WEEKNUM(InputData[[#This Row],[DATE]])</f>
        <v>12</v>
      </c>
      <c r="N201"/>
      <c r="R201" s="3" t="s">
        <v>73</v>
      </c>
      <c r="S201" s="1" t="str">
        <f t="shared" si="6"/>
        <v>Ashworth Trading Group</v>
      </c>
      <c r="V201"/>
      <c r="Z201" s="11" t="s">
        <v>2</v>
      </c>
      <c r="AA201" s="1" t="str">
        <f t="shared" si="7"/>
        <v>Hex Bolt M10</v>
      </c>
      <c r="AF201"/>
    </row>
    <row r="202" spans="1:32" x14ac:dyDescent="0.3">
      <c r="A202" s="10">
        <v>44275</v>
      </c>
      <c r="B202" s="3" t="s">
        <v>144</v>
      </c>
      <c r="C202" s="11" t="s">
        <v>252</v>
      </c>
      <c r="D202" s="12">
        <v>156.96</v>
      </c>
      <c r="E202" s="1">
        <v>23</v>
      </c>
      <c r="F202" s="13">
        <f>InputData[[#This Row],[QUANTITY]]*InputData[[#This Row],[UNIT PRICE (R)]]</f>
        <v>3610.0800000000004</v>
      </c>
      <c r="G202" s="1" t="str">
        <f>VLOOKUP(InputData[[#This Row],[CUSTOMER NAME]],Country[],2,0)</f>
        <v>Bangladesh</v>
      </c>
      <c r="H202" s="1" t="str">
        <f>VLOOKUP(InputData[[#This Row],[CUSTOMER NAME]],Country[],3,0)</f>
        <v>Export</v>
      </c>
      <c r="I202" s="1" t="str">
        <f>TEXT(InputData[[#This Row],[DATE]],"mmmm")</f>
        <v>March</v>
      </c>
      <c r="J202" s="1" t="str">
        <f>TEXT(InputData[[#This Row],[DATE]],"ddd")</f>
        <v>Sat</v>
      </c>
      <c r="K202" s="14">
        <f>WEEKNUM(InputData[[#This Row],[DATE]])</f>
        <v>12</v>
      </c>
      <c r="N202"/>
      <c r="R202" s="3" t="s">
        <v>74</v>
      </c>
      <c r="S202" s="1" t="str">
        <f t="shared" si="6"/>
        <v>Millbrook Distribution</v>
      </c>
      <c r="V202"/>
      <c r="Z202" s="11" t="s">
        <v>41</v>
      </c>
      <c r="AA202" s="1" t="str">
        <f t="shared" si="7"/>
        <v>PVC Elbow 20mm</v>
      </c>
      <c r="AF202"/>
    </row>
    <row r="203" spans="1:32" x14ac:dyDescent="0.3">
      <c r="A203" s="10">
        <v>44275</v>
      </c>
      <c r="B203" s="3" t="s">
        <v>147</v>
      </c>
      <c r="C203" s="11" t="s">
        <v>266</v>
      </c>
      <c r="D203" s="12">
        <v>79.92</v>
      </c>
      <c r="E203" s="1">
        <v>21</v>
      </c>
      <c r="F203" s="13">
        <f>InputData[[#This Row],[QUANTITY]]*InputData[[#This Row],[UNIT PRICE (R)]]</f>
        <v>1678.32</v>
      </c>
      <c r="G203" s="1" t="str">
        <f>VLOOKUP(InputData[[#This Row],[CUSTOMER NAME]],Country[],2,0)</f>
        <v>India</v>
      </c>
      <c r="H203" s="1" t="str">
        <f>VLOOKUP(InputData[[#This Row],[CUSTOMER NAME]],Country[],3,0)</f>
        <v>Northeast</v>
      </c>
      <c r="I203" s="1" t="str">
        <f>TEXT(InputData[[#This Row],[DATE]],"mmmm")</f>
        <v>March</v>
      </c>
      <c r="J203" s="1" t="str">
        <f>TEXT(InputData[[#This Row],[DATE]],"ddd")</f>
        <v>Sat</v>
      </c>
      <c r="K203" s="14">
        <f>WEEKNUM(InputData[[#This Row],[DATE]])</f>
        <v>12</v>
      </c>
      <c r="N203"/>
      <c r="R203" s="3" t="s">
        <v>49</v>
      </c>
      <c r="S203" s="1" t="str">
        <f t="shared" si="6"/>
        <v>Baxter &amp; Kline Supplies</v>
      </c>
      <c r="V203"/>
      <c r="Z203" s="11" t="s">
        <v>24</v>
      </c>
      <c r="AA203" s="1" t="str">
        <f t="shared" si="7"/>
        <v>Eye Bolt M10</v>
      </c>
      <c r="AF203"/>
    </row>
    <row r="204" spans="1:32" x14ac:dyDescent="0.3">
      <c r="A204" s="10">
        <v>44275</v>
      </c>
      <c r="B204" s="3" t="s">
        <v>177</v>
      </c>
      <c r="C204" s="11" t="s">
        <v>244</v>
      </c>
      <c r="D204" s="12">
        <v>16.64</v>
      </c>
      <c r="E204" s="1">
        <v>13</v>
      </c>
      <c r="F204" s="13">
        <f>InputData[[#This Row],[QUANTITY]]*InputData[[#This Row],[UNIT PRICE (R)]]</f>
        <v>216.32</v>
      </c>
      <c r="G204" s="1" t="str">
        <f>VLOOKUP(InputData[[#This Row],[CUSTOMER NAME]],Country[],2,0)</f>
        <v>India</v>
      </c>
      <c r="H204" s="1" t="str">
        <f>VLOOKUP(InputData[[#This Row],[CUSTOMER NAME]],Country[],3,0)</f>
        <v>North</v>
      </c>
      <c r="I204" s="1" t="str">
        <f>TEXT(InputData[[#This Row],[DATE]],"mmmm")</f>
        <v>March</v>
      </c>
      <c r="J204" s="1" t="str">
        <f>TEXT(InputData[[#This Row],[DATE]],"ddd")</f>
        <v>Sat</v>
      </c>
      <c r="K204" s="14">
        <f>WEEKNUM(InputData[[#This Row],[DATE]])</f>
        <v>12</v>
      </c>
      <c r="N204"/>
      <c r="R204" s="3" t="s">
        <v>52</v>
      </c>
      <c r="S204" s="1" t="str">
        <f t="shared" si="6"/>
        <v>Harrow Distribution</v>
      </c>
      <c r="V204"/>
      <c r="Z204" s="11" t="s">
        <v>38</v>
      </c>
      <c r="AA204" s="1" t="str">
        <f t="shared" si="7"/>
        <v>Cable Tie 300mm</v>
      </c>
      <c r="AF204"/>
    </row>
    <row r="205" spans="1:32" x14ac:dyDescent="0.3">
      <c r="A205" s="10">
        <v>44276</v>
      </c>
      <c r="B205" s="3" t="s">
        <v>151</v>
      </c>
      <c r="C205" s="11" t="s">
        <v>267</v>
      </c>
      <c r="D205" s="12">
        <v>42.55</v>
      </c>
      <c r="E205" s="1">
        <v>7</v>
      </c>
      <c r="F205" s="13">
        <f>InputData[[#This Row],[QUANTITY]]*InputData[[#This Row],[UNIT PRICE (R)]]</f>
        <v>297.84999999999997</v>
      </c>
      <c r="G205" s="1" t="str">
        <f>VLOOKUP(InputData[[#This Row],[CUSTOMER NAME]],Country[],2,0)</f>
        <v>Russia</v>
      </c>
      <c r="H205" s="1" t="str">
        <f>VLOOKUP(InputData[[#This Row],[CUSTOMER NAME]],Country[],3,0)</f>
        <v>Export</v>
      </c>
      <c r="I205" s="1" t="str">
        <f>TEXT(InputData[[#This Row],[DATE]],"mmmm")</f>
        <v>March</v>
      </c>
      <c r="J205" s="1" t="str">
        <f>TEXT(InputData[[#This Row],[DATE]],"ddd")</f>
        <v>Sun</v>
      </c>
      <c r="K205" s="14">
        <f>WEEKNUM(InputData[[#This Row],[DATE]])</f>
        <v>13</v>
      </c>
      <c r="N205"/>
      <c r="R205" s="3" t="s">
        <v>99</v>
      </c>
      <c r="S205" s="1" t="str">
        <f t="shared" si="6"/>
        <v>Northfield Traders</v>
      </c>
      <c r="V205"/>
      <c r="Z205" s="11" t="s">
        <v>16</v>
      </c>
      <c r="AA205" s="1" t="str">
        <f t="shared" si="7"/>
        <v>Blind Rivet 6mm</v>
      </c>
      <c r="AF205"/>
    </row>
    <row r="206" spans="1:32" x14ac:dyDescent="0.3">
      <c r="A206" s="10">
        <v>44276</v>
      </c>
      <c r="B206" s="3" t="s">
        <v>154</v>
      </c>
      <c r="C206" s="11" t="s">
        <v>229</v>
      </c>
      <c r="D206" s="12">
        <v>103.88</v>
      </c>
      <c r="E206" s="1">
        <v>18</v>
      </c>
      <c r="F206" s="13">
        <f>InputData[[#This Row],[QUANTITY]]*InputData[[#This Row],[UNIT PRICE (R)]]</f>
        <v>1869.84</v>
      </c>
      <c r="G206" s="1" t="str">
        <f>VLOOKUP(InputData[[#This Row],[CUSTOMER NAME]],Country[],2,0)</f>
        <v>India</v>
      </c>
      <c r="H206" s="1" t="str">
        <f>VLOOKUP(InputData[[#This Row],[CUSTOMER NAME]],Country[],3,0)</f>
        <v>Central</v>
      </c>
      <c r="I206" s="1" t="str">
        <f>TEXT(InputData[[#This Row],[DATE]],"mmmm")</f>
        <v>March</v>
      </c>
      <c r="J206" s="1" t="str">
        <f>TEXT(InputData[[#This Row],[DATE]],"ddd")</f>
        <v>Sun</v>
      </c>
      <c r="K206" s="14">
        <f>WEEKNUM(InputData[[#This Row],[DATE]])</f>
        <v>13</v>
      </c>
      <c r="N206"/>
      <c r="R206" s="3" t="s">
        <v>56</v>
      </c>
      <c r="S206" s="1" t="str">
        <f t="shared" si="6"/>
        <v>Northgate Industries</v>
      </c>
      <c r="V206"/>
      <c r="Z206" s="11" t="s">
        <v>39</v>
      </c>
      <c r="AA206" s="1" t="str">
        <f t="shared" si="7"/>
        <v>Cable Clip 20mm</v>
      </c>
      <c r="AF206"/>
    </row>
    <row r="207" spans="1:32" x14ac:dyDescent="0.3">
      <c r="A207" s="10">
        <v>44276</v>
      </c>
      <c r="B207" s="3" t="s">
        <v>177</v>
      </c>
      <c r="C207" s="11" t="s">
        <v>248</v>
      </c>
      <c r="D207" s="12">
        <v>76.25</v>
      </c>
      <c r="E207" s="1">
        <v>13</v>
      </c>
      <c r="F207" s="13">
        <f>InputData[[#This Row],[QUANTITY]]*InputData[[#This Row],[UNIT PRICE (R)]]</f>
        <v>991.25</v>
      </c>
      <c r="G207" s="1" t="str">
        <f>VLOOKUP(InputData[[#This Row],[CUSTOMER NAME]],Country[],2,0)</f>
        <v>India</v>
      </c>
      <c r="H207" s="1" t="str">
        <f>VLOOKUP(InputData[[#This Row],[CUSTOMER NAME]],Country[],3,0)</f>
        <v>North</v>
      </c>
      <c r="I207" s="1" t="str">
        <f>TEXT(InputData[[#This Row],[DATE]],"mmmm")</f>
        <v>March</v>
      </c>
      <c r="J207" s="1" t="str">
        <f>TEXT(InputData[[#This Row],[DATE]],"ddd")</f>
        <v>Sun</v>
      </c>
      <c r="K207" s="14">
        <f>WEEKNUM(InputData[[#This Row],[DATE]])</f>
        <v>13</v>
      </c>
      <c r="N207"/>
      <c r="R207" s="3" t="s">
        <v>59</v>
      </c>
      <c r="S207" s="1" t="str">
        <f t="shared" si="6"/>
        <v>Bellview Enterprises</v>
      </c>
      <c r="V207"/>
      <c r="Z207" s="11" t="s">
        <v>1</v>
      </c>
      <c r="AA207" s="1" t="str">
        <f t="shared" si="7"/>
        <v>Hex Bolt M8</v>
      </c>
      <c r="AF207"/>
    </row>
    <row r="208" spans="1:32" x14ac:dyDescent="0.3">
      <c r="A208" s="10">
        <v>44277</v>
      </c>
      <c r="B208" s="3" t="s">
        <v>154</v>
      </c>
      <c r="C208" s="11" t="s">
        <v>230</v>
      </c>
      <c r="D208" s="12">
        <v>142.80000000000001</v>
      </c>
      <c r="E208" s="1">
        <v>8</v>
      </c>
      <c r="F208" s="13">
        <f>InputData[[#This Row],[QUANTITY]]*InputData[[#This Row],[UNIT PRICE (R)]]</f>
        <v>1142.4000000000001</v>
      </c>
      <c r="G208" s="1" t="str">
        <f>VLOOKUP(InputData[[#This Row],[CUSTOMER NAME]],Country[],2,0)</f>
        <v>India</v>
      </c>
      <c r="H208" s="1" t="str">
        <f>VLOOKUP(InputData[[#This Row],[CUSTOMER NAME]],Country[],3,0)</f>
        <v>Central</v>
      </c>
      <c r="I208" s="1" t="str">
        <f>TEXT(InputData[[#This Row],[DATE]],"mmmm")</f>
        <v>March</v>
      </c>
      <c r="J208" s="1" t="str">
        <f>TEXT(InputData[[#This Row],[DATE]],"ddd")</f>
        <v>Mon</v>
      </c>
      <c r="K208" s="14">
        <f>WEEKNUM(InputData[[#This Row],[DATE]])</f>
        <v>13</v>
      </c>
      <c r="N208"/>
      <c r="R208" s="3" t="s">
        <v>99</v>
      </c>
      <c r="S208" s="1" t="str">
        <f t="shared" si="6"/>
        <v>Northfield Traders</v>
      </c>
      <c r="V208"/>
      <c r="Z208" s="11" t="s">
        <v>20</v>
      </c>
      <c r="AA208" s="1" t="str">
        <f t="shared" si="7"/>
        <v>Toggle Bolt M6</v>
      </c>
      <c r="AF208"/>
    </row>
    <row r="209" spans="1:32" x14ac:dyDescent="0.3">
      <c r="A209" s="10">
        <v>44277</v>
      </c>
      <c r="B209" s="3" t="s">
        <v>156</v>
      </c>
      <c r="C209" s="11" t="s">
        <v>240</v>
      </c>
      <c r="D209" s="12">
        <v>94.17</v>
      </c>
      <c r="E209" s="1">
        <v>4</v>
      </c>
      <c r="F209" s="13">
        <f>InputData[[#This Row],[QUANTITY]]*InputData[[#This Row],[UNIT PRICE (R)]]</f>
        <v>376.68</v>
      </c>
      <c r="G209" s="1" t="str">
        <f>VLOOKUP(InputData[[#This Row],[CUSTOMER NAME]],Country[],2,0)</f>
        <v>India</v>
      </c>
      <c r="H209" s="1" t="str">
        <f>VLOOKUP(InputData[[#This Row],[CUSTOMER NAME]],Country[],3,0)</f>
        <v>East</v>
      </c>
      <c r="I209" s="1" t="str">
        <f>TEXT(InputData[[#This Row],[DATE]],"mmmm")</f>
        <v>March</v>
      </c>
      <c r="J209" s="1" t="str">
        <f>TEXT(InputData[[#This Row],[DATE]],"ddd")</f>
        <v>Mon</v>
      </c>
      <c r="K209" s="14">
        <f>WEEKNUM(InputData[[#This Row],[DATE]])</f>
        <v>13</v>
      </c>
      <c r="N209"/>
      <c r="R209" s="3" t="s">
        <v>59</v>
      </c>
      <c r="S209" s="1" t="str">
        <f t="shared" si="6"/>
        <v>Bellview Enterprises</v>
      </c>
      <c r="V209"/>
      <c r="Z209" s="11" t="s">
        <v>2</v>
      </c>
      <c r="AA209" s="1" t="str">
        <f t="shared" si="7"/>
        <v>Hex Bolt M10</v>
      </c>
      <c r="AF209"/>
    </row>
    <row r="210" spans="1:32" x14ac:dyDescent="0.3">
      <c r="A210" s="10">
        <v>44277</v>
      </c>
      <c r="B210" s="3" t="s">
        <v>167</v>
      </c>
      <c r="C210" s="11" t="s">
        <v>255</v>
      </c>
      <c r="D210" s="12">
        <v>57.120000000000005</v>
      </c>
      <c r="E210" s="1">
        <v>30</v>
      </c>
      <c r="F210" s="13">
        <f>InputData[[#This Row],[QUANTITY]]*InputData[[#This Row],[UNIT PRICE (R)]]</f>
        <v>1713.6000000000001</v>
      </c>
      <c r="G210" s="1" t="str">
        <f>VLOOKUP(InputData[[#This Row],[CUSTOMER NAME]],Country[],2,0)</f>
        <v>Ethiopia</v>
      </c>
      <c r="H210" s="1" t="str">
        <f>VLOOKUP(InputData[[#This Row],[CUSTOMER NAME]],Country[],3,0)</f>
        <v>Export</v>
      </c>
      <c r="I210" s="1" t="str">
        <f>TEXT(InputData[[#This Row],[DATE]],"mmmm")</f>
        <v>March</v>
      </c>
      <c r="J210" s="1" t="str">
        <f>TEXT(InputData[[#This Row],[DATE]],"ddd")</f>
        <v>Mon</v>
      </c>
      <c r="K210" s="14">
        <f>WEEKNUM(InputData[[#This Row],[DATE]])</f>
        <v>13</v>
      </c>
      <c r="N210"/>
      <c r="R210" s="3" t="s">
        <v>61</v>
      </c>
      <c r="S210" s="1" t="str">
        <f t="shared" si="6"/>
        <v>Fairstone Retail Group</v>
      </c>
      <c r="V210"/>
      <c r="Z210" s="11" t="s">
        <v>12</v>
      </c>
      <c r="AA210" s="1" t="str">
        <f t="shared" si="7"/>
        <v>Drywall Screw 30mm</v>
      </c>
      <c r="AF210"/>
    </row>
    <row r="211" spans="1:32" x14ac:dyDescent="0.3">
      <c r="A211" s="10">
        <v>44278</v>
      </c>
      <c r="B211" s="3" t="s">
        <v>169</v>
      </c>
      <c r="C211" s="11" t="s">
        <v>260</v>
      </c>
      <c r="D211" s="12">
        <v>117.48</v>
      </c>
      <c r="E211" s="1">
        <v>9</v>
      </c>
      <c r="F211" s="13">
        <f>InputData[[#This Row],[QUANTITY]]*InputData[[#This Row],[UNIT PRICE (R)]]</f>
        <v>1057.32</v>
      </c>
      <c r="G211" s="1" t="str">
        <f>VLOOKUP(InputData[[#This Row],[CUSTOMER NAME]],Country[],2,0)</f>
        <v>India</v>
      </c>
      <c r="H211" s="1" t="str">
        <f>VLOOKUP(InputData[[#This Row],[CUSTOMER NAME]],Country[],3,0)</f>
        <v>South</v>
      </c>
      <c r="I211" s="1" t="str">
        <f>TEXT(InputData[[#This Row],[DATE]],"mmmm")</f>
        <v>March</v>
      </c>
      <c r="J211" s="1" t="str">
        <f>TEXT(InputData[[#This Row],[DATE]],"ddd")</f>
        <v>Tue</v>
      </c>
      <c r="K211" s="14">
        <f>WEEKNUM(InputData[[#This Row],[DATE]])</f>
        <v>13</v>
      </c>
      <c r="N211"/>
      <c r="R211" s="3" t="s">
        <v>72</v>
      </c>
      <c r="S211" s="1" t="str">
        <f t="shared" si="6"/>
        <v>Hendricks Mercantile</v>
      </c>
      <c r="V211"/>
      <c r="Z211" s="11" t="s">
        <v>27</v>
      </c>
      <c r="AA211" s="1" t="str">
        <f t="shared" si="7"/>
        <v>Padlock Hasp 100mm</v>
      </c>
      <c r="AF211"/>
    </row>
    <row r="212" spans="1:32" x14ac:dyDescent="0.3">
      <c r="A212" s="10">
        <v>44280</v>
      </c>
      <c r="B212" s="3" t="s">
        <v>145</v>
      </c>
      <c r="C212" s="11" t="s">
        <v>257</v>
      </c>
      <c r="D212" s="12">
        <v>53.11</v>
      </c>
      <c r="E212" s="1">
        <v>8</v>
      </c>
      <c r="F212" s="13">
        <f>InputData[[#This Row],[QUANTITY]]*InputData[[#This Row],[UNIT PRICE (R)]]</f>
        <v>424.88</v>
      </c>
      <c r="G212" s="1" t="str">
        <f>VLOOKUP(InputData[[#This Row],[CUSTOMER NAME]],Country[],2,0)</f>
        <v>India</v>
      </c>
      <c r="H212" s="1" t="str">
        <f>VLOOKUP(InputData[[#This Row],[CUSTOMER NAME]],Country[],3,0)</f>
        <v>Northeast</v>
      </c>
      <c r="I212" s="1" t="str">
        <f>TEXT(InputData[[#This Row],[DATE]],"mmmm")</f>
        <v>March</v>
      </c>
      <c r="J212" s="1" t="str">
        <f>TEXT(InputData[[#This Row],[DATE]],"ddd")</f>
        <v>Thu</v>
      </c>
      <c r="K212" s="14">
        <f>WEEKNUM(InputData[[#This Row],[DATE]])</f>
        <v>13</v>
      </c>
      <c r="N212"/>
      <c r="R212" s="3" t="s">
        <v>74</v>
      </c>
      <c r="S212" s="1" t="str">
        <f t="shared" si="6"/>
        <v>Millbrook Distribution</v>
      </c>
      <c r="V212"/>
      <c r="Z212" s="11" t="s">
        <v>32</v>
      </c>
      <c r="AA212" s="1" t="str">
        <f t="shared" si="7"/>
        <v>Corner Bracket 50mm</v>
      </c>
      <c r="AF212"/>
    </row>
    <row r="213" spans="1:32" x14ac:dyDescent="0.3">
      <c r="A213" s="10">
        <v>44280</v>
      </c>
      <c r="B213" s="3" t="s">
        <v>146</v>
      </c>
      <c r="C213" s="11" t="s">
        <v>229</v>
      </c>
      <c r="D213" s="12">
        <v>103.88</v>
      </c>
      <c r="E213" s="1">
        <v>2</v>
      </c>
      <c r="F213" s="13">
        <f>InputData[[#This Row],[QUANTITY]]*InputData[[#This Row],[UNIT PRICE (R)]]</f>
        <v>207.76</v>
      </c>
      <c r="G213" s="1" t="str">
        <f>VLOOKUP(InputData[[#This Row],[CUSTOMER NAME]],Country[],2,0)</f>
        <v>Saudi Arabia</v>
      </c>
      <c r="H213" s="1" t="str">
        <f>VLOOKUP(InputData[[#This Row],[CUSTOMER NAME]],Country[],3,0)</f>
        <v>Export</v>
      </c>
      <c r="I213" s="1" t="str">
        <f>TEXT(InputData[[#This Row],[DATE]],"mmmm")</f>
        <v>March</v>
      </c>
      <c r="J213" s="1" t="str">
        <f>TEXT(InputData[[#This Row],[DATE]],"ddd")</f>
        <v>Thu</v>
      </c>
      <c r="K213" s="14">
        <f>WEEKNUM(InputData[[#This Row],[DATE]])</f>
        <v>13</v>
      </c>
      <c r="N213"/>
      <c r="R213" s="3" t="s">
        <v>50</v>
      </c>
      <c r="S213" s="1" t="str">
        <f t="shared" si="6"/>
        <v>Meridian Hardware Co.</v>
      </c>
      <c r="V213"/>
      <c r="Z213" s="11" t="s">
        <v>29</v>
      </c>
      <c r="AA213" s="1" t="str">
        <f t="shared" si="7"/>
        <v>Butt Hinge 100mm</v>
      </c>
      <c r="AF213"/>
    </row>
    <row r="214" spans="1:32" x14ac:dyDescent="0.3">
      <c r="A214" s="10">
        <v>44280</v>
      </c>
      <c r="B214" s="3" t="s">
        <v>146</v>
      </c>
      <c r="C214" s="11" t="s">
        <v>245</v>
      </c>
      <c r="D214" s="12">
        <v>156.78</v>
      </c>
      <c r="E214" s="1">
        <v>26</v>
      </c>
      <c r="F214" s="13">
        <f>InputData[[#This Row],[QUANTITY]]*InputData[[#This Row],[UNIT PRICE (R)]]</f>
        <v>4076.28</v>
      </c>
      <c r="G214" s="1" t="str">
        <f>VLOOKUP(InputData[[#This Row],[CUSTOMER NAME]],Country[],2,0)</f>
        <v>Saudi Arabia</v>
      </c>
      <c r="H214" s="1" t="str">
        <f>VLOOKUP(InputData[[#This Row],[CUSTOMER NAME]],Country[],3,0)</f>
        <v>Export</v>
      </c>
      <c r="I214" s="1" t="str">
        <f>TEXT(InputData[[#This Row],[DATE]],"mmmm")</f>
        <v>March</v>
      </c>
      <c r="J214" s="1" t="str">
        <f>TEXT(InputData[[#This Row],[DATE]],"ddd")</f>
        <v>Thu</v>
      </c>
      <c r="K214" s="14">
        <f>WEEKNUM(InputData[[#This Row],[DATE]])</f>
        <v>13</v>
      </c>
      <c r="N214"/>
      <c r="R214" s="3" t="s">
        <v>51</v>
      </c>
      <c r="S214" s="1" t="str">
        <f t="shared" si="6"/>
        <v>Coastal Fittings Ltd</v>
      </c>
      <c r="V214"/>
      <c r="Z214" s="11" t="s">
        <v>1</v>
      </c>
      <c r="AA214" s="1" t="str">
        <f t="shared" si="7"/>
        <v>Hex Bolt M8</v>
      </c>
      <c r="AF214"/>
    </row>
    <row r="215" spans="1:32" x14ac:dyDescent="0.3">
      <c r="A215" s="10">
        <v>44280</v>
      </c>
      <c r="B215" s="3" t="s">
        <v>151</v>
      </c>
      <c r="C215" s="11" t="s">
        <v>258</v>
      </c>
      <c r="D215" s="12">
        <v>201.28</v>
      </c>
      <c r="E215" s="1">
        <v>11</v>
      </c>
      <c r="F215" s="13">
        <f>InputData[[#This Row],[QUANTITY]]*InputData[[#This Row],[UNIT PRICE (R)]]</f>
        <v>2214.08</v>
      </c>
      <c r="G215" s="1" t="str">
        <f>VLOOKUP(InputData[[#This Row],[CUSTOMER NAME]],Country[],2,0)</f>
        <v>Russia</v>
      </c>
      <c r="H215" s="1" t="str">
        <f>VLOOKUP(InputData[[#This Row],[CUSTOMER NAME]],Country[],3,0)</f>
        <v>Export</v>
      </c>
      <c r="I215" s="1" t="str">
        <f>TEXT(InputData[[#This Row],[DATE]],"mmmm")</f>
        <v>March</v>
      </c>
      <c r="J215" s="1" t="str">
        <f>TEXT(InputData[[#This Row],[DATE]],"ddd")</f>
        <v>Thu</v>
      </c>
      <c r="K215" s="14">
        <f>WEEKNUM(InputData[[#This Row],[DATE]])</f>
        <v>13</v>
      </c>
      <c r="N215"/>
      <c r="R215" s="3" t="s">
        <v>51</v>
      </c>
      <c r="S215" s="1" t="str">
        <f t="shared" si="6"/>
        <v>Coastal Fittings Ltd</v>
      </c>
      <c r="V215"/>
      <c r="Z215" s="11" t="s">
        <v>17</v>
      </c>
      <c r="AA215" s="1" t="str">
        <f t="shared" si="7"/>
        <v>Cotter Pin 3mm</v>
      </c>
      <c r="AF215"/>
    </row>
    <row r="216" spans="1:32" x14ac:dyDescent="0.3">
      <c r="A216" s="10">
        <v>44280</v>
      </c>
      <c r="B216" s="3" t="s">
        <v>156</v>
      </c>
      <c r="C216" s="11" t="s">
        <v>252</v>
      </c>
      <c r="D216" s="12">
        <v>156.96</v>
      </c>
      <c r="E216" s="1">
        <v>14</v>
      </c>
      <c r="F216" s="13">
        <f>InputData[[#This Row],[QUANTITY]]*InputData[[#This Row],[UNIT PRICE (R)]]</f>
        <v>2197.44</v>
      </c>
      <c r="G216" s="1" t="str">
        <f>VLOOKUP(InputData[[#This Row],[CUSTOMER NAME]],Country[],2,0)</f>
        <v>India</v>
      </c>
      <c r="H216" s="1" t="str">
        <f>VLOOKUP(InputData[[#This Row],[CUSTOMER NAME]],Country[],3,0)</f>
        <v>East</v>
      </c>
      <c r="I216" s="1" t="str">
        <f>TEXT(InputData[[#This Row],[DATE]],"mmmm")</f>
        <v>March</v>
      </c>
      <c r="J216" s="1" t="str">
        <f>TEXT(InputData[[#This Row],[DATE]],"ddd")</f>
        <v>Thu</v>
      </c>
      <c r="K216" s="14">
        <f>WEEKNUM(InputData[[#This Row],[DATE]])</f>
        <v>13</v>
      </c>
      <c r="N216"/>
      <c r="R216" s="3" t="s">
        <v>56</v>
      </c>
      <c r="S216" s="1" t="str">
        <f t="shared" si="6"/>
        <v>Northgate Industries</v>
      </c>
      <c r="V216"/>
      <c r="Z216" s="11" t="s">
        <v>30</v>
      </c>
      <c r="AA216" s="1" t="str">
        <f t="shared" si="7"/>
        <v>Door Latch Set</v>
      </c>
      <c r="AF216"/>
    </row>
    <row r="217" spans="1:32" x14ac:dyDescent="0.3">
      <c r="A217" s="10">
        <v>44280</v>
      </c>
      <c r="B217" s="3" t="s">
        <v>157</v>
      </c>
      <c r="C217" s="11" t="s">
        <v>234</v>
      </c>
      <c r="D217" s="12">
        <v>85.5</v>
      </c>
      <c r="E217" s="1">
        <v>4</v>
      </c>
      <c r="F217" s="13">
        <f>InputData[[#This Row],[QUANTITY]]*InputData[[#This Row],[UNIT PRICE (R)]]</f>
        <v>342</v>
      </c>
      <c r="G217" s="1" t="str">
        <f>VLOOKUP(InputData[[#This Row],[CUSTOMER NAME]],Country[],2,0)</f>
        <v>Brazil</v>
      </c>
      <c r="H217" s="1" t="str">
        <f>VLOOKUP(InputData[[#This Row],[CUSTOMER NAME]],Country[],3,0)</f>
        <v>Export</v>
      </c>
      <c r="I217" s="1" t="str">
        <f>TEXT(InputData[[#This Row],[DATE]],"mmmm")</f>
        <v>March</v>
      </c>
      <c r="J217" s="1" t="str">
        <f>TEXT(InputData[[#This Row],[DATE]],"ddd")</f>
        <v>Thu</v>
      </c>
      <c r="K217" s="14">
        <f>WEEKNUM(InputData[[#This Row],[DATE]])</f>
        <v>13</v>
      </c>
      <c r="N217"/>
      <c r="R217" s="3" t="s">
        <v>61</v>
      </c>
      <c r="S217" s="1" t="str">
        <f t="shared" si="6"/>
        <v>Fairstone Retail Group</v>
      </c>
      <c r="V217"/>
      <c r="Z217" s="11" t="s">
        <v>24</v>
      </c>
      <c r="AA217" s="1" t="str">
        <f t="shared" si="7"/>
        <v>Eye Bolt M10</v>
      </c>
      <c r="AF217"/>
    </row>
    <row r="218" spans="1:32" x14ac:dyDescent="0.3">
      <c r="A218" s="10">
        <v>44280</v>
      </c>
      <c r="B218" s="3" t="s">
        <v>164</v>
      </c>
      <c r="C218" s="11" t="s">
        <v>266</v>
      </c>
      <c r="D218" s="12">
        <v>79.92</v>
      </c>
      <c r="E218" s="1">
        <v>2</v>
      </c>
      <c r="F218" s="13">
        <f>InputData[[#This Row],[QUANTITY]]*InputData[[#This Row],[UNIT PRICE (R)]]</f>
        <v>159.84</v>
      </c>
      <c r="G218" s="1" t="str">
        <f>VLOOKUP(InputData[[#This Row],[CUSTOMER NAME]],Country[],2,0)</f>
        <v>India</v>
      </c>
      <c r="H218" s="1" t="str">
        <f>VLOOKUP(InputData[[#This Row],[CUSTOMER NAME]],Country[],3,0)</f>
        <v>East</v>
      </c>
      <c r="I218" s="1" t="str">
        <f>TEXT(InputData[[#This Row],[DATE]],"mmmm")</f>
        <v>March</v>
      </c>
      <c r="J218" s="1" t="str">
        <f>TEXT(InputData[[#This Row],[DATE]],"ddd")</f>
        <v>Thu</v>
      </c>
      <c r="K218" s="14">
        <f>WEEKNUM(InputData[[#This Row],[DATE]])</f>
        <v>13</v>
      </c>
      <c r="N218"/>
      <c r="R218" s="3" t="s">
        <v>62</v>
      </c>
      <c r="S218" s="1" t="str">
        <f t="shared" si="6"/>
        <v>Marchbank Traders</v>
      </c>
      <c r="V218"/>
      <c r="Z218" s="11" t="s">
        <v>6</v>
      </c>
      <c r="AA218" s="1" t="str">
        <f t="shared" si="7"/>
        <v>Flange Nut M10</v>
      </c>
      <c r="AF218"/>
    </row>
    <row r="219" spans="1:32" x14ac:dyDescent="0.3">
      <c r="A219" s="10">
        <v>44281</v>
      </c>
      <c r="B219" s="3" t="s">
        <v>148</v>
      </c>
      <c r="C219" s="11" t="s">
        <v>238</v>
      </c>
      <c r="D219" s="12">
        <v>164.28</v>
      </c>
      <c r="E219" s="1">
        <v>9</v>
      </c>
      <c r="F219" s="13">
        <f>InputData[[#This Row],[QUANTITY]]*InputData[[#This Row],[UNIT PRICE (R)]]</f>
        <v>1478.52</v>
      </c>
      <c r="G219" s="1" t="str">
        <f>VLOOKUP(InputData[[#This Row],[CUSTOMER NAME]],Country[],2,0)</f>
        <v>Pakistan</v>
      </c>
      <c r="H219" s="1" t="str">
        <f>VLOOKUP(InputData[[#This Row],[CUSTOMER NAME]],Country[],3,0)</f>
        <v>Export</v>
      </c>
      <c r="I219" s="1" t="str">
        <f>TEXT(InputData[[#This Row],[DATE]],"mmmm")</f>
        <v>March</v>
      </c>
      <c r="J219" s="1" t="str">
        <f>TEXT(InputData[[#This Row],[DATE]],"ddd")</f>
        <v>Fri</v>
      </c>
      <c r="K219" s="14">
        <f>WEEKNUM(InputData[[#This Row],[DATE]])</f>
        <v>13</v>
      </c>
      <c r="N219"/>
      <c r="R219" s="3" t="s">
        <v>69</v>
      </c>
      <c r="S219" s="1" t="str">
        <f t="shared" si="6"/>
        <v>Southcote Industries</v>
      </c>
      <c r="V219"/>
      <c r="Z219" s="11" t="s">
        <v>38</v>
      </c>
      <c r="AA219" s="1" t="str">
        <f t="shared" si="7"/>
        <v>Cable Tie 300mm</v>
      </c>
      <c r="AF219"/>
    </row>
    <row r="220" spans="1:32" x14ac:dyDescent="0.3">
      <c r="A220" s="10">
        <v>44281</v>
      </c>
      <c r="B220" s="3" t="s">
        <v>175</v>
      </c>
      <c r="C220" s="11" t="s">
        <v>229</v>
      </c>
      <c r="D220" s="12">
        <v>103.88</v>
      </c>
      <c r="E220" s="1">
        <v>4</v>
      </c>
      <c r="F220" s="13">
        <f>InputData[[#This Row],[QUANTITY]]*InputData[[#This Row],[UNIT PRICE (R)]]</f>
        <v>415.52</v>
      </c>
      <c r="G220" s="1" t="str">
        <f>VLOOKUP(InputData[[#This Row],[CUSTOMER NAME]],Country[],2,0)</f>
        <v>India</v>
      </c>
      <c r="H220" s="1" t="str">
        <f>VLOOKUP(InputData[[#This Row],[CUSTOMER NAME]],Country[],3,0)</f>
        <v>Western</v>
      </c>
      <c r="I220" s="1" t="str">
        <f>TEXT(InputData[[#This Row],[DATE]],"mmmm")</f>
        <v>March</v>
      </c>
      <c r="J220" s="1" t="str">
        <f>TEXT(InputData[[#This Row],[DATE]],"ddd")</f>
        <v>Fri</v>
      </c>
      <c r="K220" s="14">
        <f>WEEKNUM(InputData[[#This Row],[DATE]])</f>
        <v>13</v>
      </c>
      <c r="N220"/>
      <c r="R220" s="3" t="s">
        <v>53</v>
      </c>
      <c r="S220" s="1" t="str">
        <f t="shared" si="6"/>
        <v>Vantage Point Retailers</v>
      </c>
      <c r="V220"/>
      <c r="Z220" s="11" t="s">
        <v>10</v>
      </c>
      <c r="AA220" s="1" t="str">
        <f t="shared" si="7"/>
        <v>Self-Tapping Screw 25mm</v>
      </c>
      <c r="AF220"/>
    </row>
    <row r="221" spans="1:32" x14ac:dyDescent="0.3">
      <c r="A221" s="10">
        <v>44281</v>
      </c>
      <c r="B221" s="3" t="s">
        <v>177</v>
      </c>
      <c r="C221" s="11" t="s">
        <v>270</v>
      </c>
      <c r="D221" s="12">
        <v>162</v>
      </c>
      <c r="E221" s="1">
        <v>1</v>
      </c>
      <c r="F221" s="13">
        <f>InputData[[#This Row],[QUANTITY]]*InputData[[#This Row],[UNIT PRICE (R)]]</f>
        <v>162</v>
      </c>
      <c r="G221" s="1" t="str">
        <f>VLOOKUP(InputData[[#This Row],[CUSTOMER NAME]],Country[],2,0)</f>
        <v>India</v>
      </c>
      <c r="H221" s="1" t="str">
        <f>VLOOKUP(InputData[[#This Row],[CUSTOMER NAME]],Country[],3,0)</f>
        <v>North</v>
      </c>
      <c r="I221" s="1" t="str">
        <f>TEXT(InputData[[#This Row],[DATE]],"mmmm")</f>
        <v>March</v>
      </c>
      <c r="J221" s="1" t="str">
        <f>TEXT(InputData[[#This Row],[DATE]],"ddd")</f>
        <v>Fri</v>
      </c>
      <c r="K221" s="14">
        <f>WEEKNUM(InputData[[#This Row],[DATE]])</f>
        <v>13</v>
      </c>
      <c r="N221"/>
      <c r="R221" s="3" t="s">
        <v>97</v>
      </c>
      <c r="S221" s="1" t="str">
        <f t="shared" si="6"/>
        <v>Stonebridge Commercial</v>
      </c>
      <c r="V221"/>
      <c r="Z221" s="11" t="s">
        <v>1</v>
      </c>
      <c r="AA221" s="1" t="str">
        <f t="shared" si="7"/>
        <v>Hex Bolt M8</v>
      </c>
      <c r="AF221"/>
    </row>
    <row r="222" spans="1:32" x14ac:dyDescent="0.3">
      <c r="A222" s="10">
        <v>44281</v>
      </c>
      <c r="B222" s="3" t="s">
        <v>172</v>
      </c>
      <c r="C222" s="11" t="s">
        <v>261</v>
      </c>
      <c r="D222" s="12">
        <v>119.7</v>
      </c>
      <c r="E222" s="1">
        <v>25</v>
      </c>
      <c r="F222" s="13">
        <f>InputData[[#This Row],[QUANTITY]]*InputData[[#This Row],[UNIT PRICE (R)]]</f>
        <v>2992.5</v>
      </c>
      <c r="G222" s="1" t="str">
        <f>VLOOKUP(InputData[[#This Row],[CUSTOMER NAME]],Country[],2,0)</f>
        <v>Mexico</v>
      </c>
      <c r="H222" s="1" t="str">
        <f>VLOOKUP(InputData[[#This Row],[CUSTOMER NAME]],Country[],3,0)</f>
        <v>Export</v>
      </c>
      <c r="I222" s="1" t="str">
        <f>TEXT(InputData[[#This Row],[DATE]],"mmmm")</f>
        <v>March</v>
      </c>
      <c r="J222" s="1" t="str">
        <f>TEXT(InputData[[#This Row],[DATE]],"ddd")</f>
        <v>Fri</v>
      </c>
      <c r="K222" s="14">
        <f>WEEKNUM(InputData[[#This Row],[DATE]])</f>
        <v>13</v>
      </c>
      <c r="N222"/>
      <c r="R222" s="3" t="s">
        <v>99</v>
      </c>
      <c r="S222" s="1" t="str">
        <f t="shared" si="6"/>
        <v>Northfield Traders</v>
      </c>
      <c r="V222"/>
      <c r="Z222" s="11" t="s">
        <v>42</v>
      </c>
      <c r="AA222" s="1" t="str">
        <f t="shared" si="7"/>
        <v>PVC Coupling 25mm</v>
      </c>
      <c r="AF222"/>
    </row>
    <row r="223" spans="1:32" x14ac:dyDescent="0.3">
      <c r="A223" s="10">
        <v>44282</v>
      </c>
      <c r="B223" s="3" t="s">
        <v>178</v>
      </c>
      <c r="C223" s="11" t="s">
        <v>258</v>
      </c>
      <c r="D223" s="12">
        <v>201.28</v>
      </c>
      <c r="E223" s="1">
        <v>3</v>
      </c>
      <c r="F223" s="13">
        <f>InputData[[#This Row],[QUANTITY]]*InputData[[#This Row],[UNIT PRICE (R)]]</f>
        <v>603.84</v>
      </c>
      <c r="G223" s="1" t="str">
        <f>VLOOKUP(InputData[[#This Row],[CUSTOMER NAME]],Country[],2,0)</f>
        <v>Pakistan</v>
      </c>
      <c r="H223" s="1" t="str">
        <f>VLOOKUP(InputData[[#This Row],[CUSTOMER NAME]],Country[],3,0)</f>
        <v>Export</v>
      </c>
      <c r="I223" s="1" t="str">
        <f>TEXT(InputData[[#This Row],[DATE]],"mmmm")</f>
        <v>March</v>
      </c>
      <c r="J223" s="1" t="str">
        <f>TEXT(InputData[[#This Row],[DATE]],"ddd")</f>
        <v>Sat</v>
      </c>
      <c r="K223" s="14">
        <f>WEEKNUM(InputData[[#This Row],[DATE]])</f>
        <v>13</v>
      </c>
      <c r="N223"/>
      <c r="R223" s="3" t="s">
        <v>77</v>
      </c>
      <c r="S223" s="1" t="str">
        <f t="shared" si="6"/>
        <v>Fenwick Traders</v>
      </c>
      <c r="V223"/>
      <c r="Z223" s="11" t="s">
        <v>33</v>
      </c>
      <c r="AA223" s="1" t="str">
        <f t="shared" si="7"/>
        <v>Shelf Bracket 200mm</v>
      </c>
      <c r="AF223"/>
    </row>
    <row r="224" spans="1:32" x14ac:dyDescent="0.3">
      <c r="A224" s="10">
        <v>44283</v>
      </c>
      <c r="B224" s="3" t="s">
        <v>143</v>
      </c>
      <c r="C224" s="11" t="s">
        <v>268</v>
      </c>
      <c r="D224" s="12">
        <v>115.2</v>
      </c>
      <c r="E224" s="1">
        <v>13</v>
      </c>
      <c r="F224" s="13">
        <f>InputData[[#This Row],[QUANTITY]]*InputData[[#This Row],[UNIT PRICE (R)]]</f>
        <v>1497.6000000000001</v>
      </c>
      <c r="G224" s="1" t="str">
        <f>VLOOKUP(InputData[[#This Row],[CUSTOMER NAME]],Country[],2,0)</f>
        <v>Nigeria</v>
      </c>
      <c r="H224" s="1" t="str">
        <f>VLOOKUP(InputData[[#This Row],[CUSTOMER NAME]],Country[],3,0)</f>
        <v>Export</v>
      </c>
      <c r="I224" s="1" t="str">
        <f>TEXT(InputData[[#This Row],[DATE]],"mmmm")</f>
        <v>March</v>
      </c>
      <c r="J224" s="1" t="str">
        <f>TEXT(InputData[[#This Row],[DATE]],"ddd")</f>
        <v>Sun</v>
      </c>
      <c r="K224" s="14">
        <f>WEEKNUM(InputData[[#This Row],[DATE]])</f>
        <v>14</v>
      </c>
      <c r="N224"/>
      <c r="R224" s="3" t="s">
        <v>100</v>
      </c>
      <c r="S224" s="1" t="str">
        <f t="shared" si="6"/>
        <v>Pemberton &amp; Associates</v>
      </c>
      <c r="V224"/>
      <c r="Z224" s="11" t="s">
        <v>30</v>
      </c>
      <c r="AA224" s="1" t="str">
        <f t="shared" si="7"/>
        <v>Door Latch Set</v>
      </c>
      <c r="AF224"/>
    </row>
    <row r="225" spans="1:32" x14ac:dyDescent="0.3">
      <c r="A225" s="10">
        <v>44283</v>
      </c>
      <c r="B225" s="3" t="s">
        <v>144</v>
      </c>
      <c r="C225" s="11" t="s">
        <v>265</v>
      </c>
      <c r="D225" s="12">
        <v>85.76</v>
      </c>
      <c r="E225" s="1">
        <v>3</v>
      </c>
      <c r="F225" s="13">
        <f>InputData[[#This Row],[QUANTITY]]*InputData[[#This Row],[UNIT PRICE (R)]]</f>
        <v>257.28000000000003</v>
      </c>
      <c r="G225" s="1" t="str">
        <f>VLOOKUP(InputData[[#This Row],[CUSTOMER NAME]],Country[],2,0)</f>
        <v>Bangladesh</v>
      </c>
      <c r="H225" s="1" t="str">
        <f>VLOOKUP(InputData[[#This Row],[CUSTOMER NAME]],Country[],3,0)</f>
        <v>Export</v>
      </c>
      <c r="I225" s="1" t="str">
        <f>TEXT(InputData[[#This Row],[DATE]],"mmmm")</f>
        <v>March</v>
      </c>
      <c r="J225" s="1" t="str">
        <f>TEXT(InputData[[#This Row],[DATE]],"ddd")</f>
        <v>Sun</v>
      </c>
      <c r="K225" s="14">
        <f>WEEKNUM(InputData[[#This Row],[DATE]])</f>
        <v>14</v>
      </c>
      <c r="N225"/>
      <c r="R225" s="3" t="s">
        <v>48</v>
      </c>
      <c r="S225" s="1" t="str">
        <f t="shared" si="6"/>
        <v>Thornwell Trading</v>
      </c>
      <c r="V225"/>
      <c r="Z225" s="11" t="s">
        <v>40</v>
      </c>
      <c r="AA225" s="1" t="str">
        <f t="shared" si="7"/>
        <v>Conduit Clamp 25mm</v>
      </c>
      <c r="AF225"/>
    </row>
    <row r="226" spans="1:32" x14ac:dyDescent="0.3">
      <c r="A226" s="10">
        <v>44283</v>
      </c>
      <c r="B226" s="3" t="s">
        <v>168</v>
      </c>
      <c r="C226" s="11" t="s">
        <v>235</v>
      </c>
      <c r="D226" s="12">
        <v>47.730000000000004</v>
      </c>
      <c r="E226" s="1">
        <v>8</v>
      </c>
      <c r="F226" s="13">
        <f>InputData[[#This Row],[QUANTITY]]*InputData[[#This Row],[UNIT PRICE (R)]]</f>
        <v>381.84000000000003</v>
      </c>
      <c r="G226" s="1" t="str">
        <f>VLOOKUP(InputData[[#This Row],[CUSTOMER NAME]],Country[],2,0)</f>
        <v>India</v>
      </c>
      <c r="H226" s="1" t="str">
        <f>VLOOKUP(InputData[[#This Row],[CUSTOMER NAME]],Country[],3,0)</f>
        <v>Northeast</v>
      </c>
      <c r="I226" s="1" t="str">
        <f>TEXT(InputData[[#This Row],[DATE]],"mmmm")</f>
        <v>March</v>
      </c>
      <c r="J226" s="1" t="str">
        <f>TEXT(InputData[[#This Row],[DATE]],"ddd")</f>
        <v>Sun</v>
      </c>
      <c r="K226" s="14">
        <f>WEEKNUM(InputData[[#This Row],[DATE]])</f>
        <v>14</v>
      </c>
      <c r="N226"/>
      <c r="R226" s="3" t="s">
        <v>49</v>
      </c>
      <c r="S226" s="1" t="str">
        <f t="shared" si="6"/>
        <v>Baxter &amp; Kline Supplies</v>
      </c>
      <c r="V226"/>
      <c r="Z226" s="11" t="s">
        <v>37</v>
      </c>
      <c r="AA226" s="1" t="str">
        <f t="shared" si="7"/>
        <v>Turnbuckle Hook M6</v>
      </c>
      <c r="AF226"/>
    </row>
    <row r="227" spans="1:32" x14ac:dyDescent="0.3">
      <c r="A227" s="10">
        <v>44284</v>
      </c>
      <c r="B227" s="3" t="s">
        <v>144</v>
      </c>
      <c r="C227" s="11" t="s">
        <v>260</v>
      </c>
      <c r="D227" s="12">
        <v>117.48</v>
      </c>
      <c r="E227" s="1">
        <v>12</v>
      </c>
      <c r="F227" s="13">
        <f>InputData[[#This Row],[QUANTITY]]*InputData[[#This Row],[UNIT PRICE (R)]]</f>
        <v>1409.76</v>
      </c>
      <c r="G227" s="1" t="str">
        <f>VLOOKUP(InputData[[#This Row],[CUSTOMER NAME]],Country[],2,0)</f>
        <v>Bangladesh</v>
      </c>
      <c r="H227" s="1" t="str">
        <f>VLOOKUP(InputData[[#This Row],[CUSTOMER NAME]],Country[],3,0)</f>
        <v>Export</v>
      </c>
      <c r="I227" s="1" t="str">
        <f>TEXT(InputData[[#This Row],[DATE]],"mmmm")</f>
        <v>March</v>
      </c>
      <c r="J227" s="1" t="str">
        <f>TEXT(InputData[[#This Row],[DATE]],"ddd")</f>
        <v>Mon</v>
      </c>
      <c r="K227" s="14">
        <f>WEEKNUM(InputData[[#This Row],[DATE]])</f>
        <v>14</v>
      </c>
      <c r="N227"/>
      <c r="R227" s="3" t="s">
        <v>73</v>
      </c>
      <c r="S227" s="1" t="str">
        <f t="shared" si="6"/>
        <v>Ashworth Trading Group</v>
      </c>
      <c r="V227"/>
      <c r="Z227" s="11" t="s">
        <v>7</v>
      </c>
      <c r="AA227" s="1" t="str">
        <f t="shared" si="7"/>
        <v>Lock Washer M8</v>
      </c>
      <c r="AF227"/>
    </row>
    <row r="228" spans="1:32" x14ac:dyDescent="0.3">
      <c r="A228" s="10">
        <v>44284</v>
      </c>
      <c r="B228" s="3" t="s">
        <v>167</v>
      </c>
      <c r="C228" s="11" t="s">
        <v>263</v>
      </c>
      <c r="D228" s="12">
        <v>6.7</v>
      </c>
      <c r="E228" s="1">
        <v>32</v>
      </c>
      <c r="F228" s="13">
        <f>InputData[[#This Row],[QUANTITY]]*InputData[[#This Row],[UNIT PRICE (R)]]</f>
        <v>214.4</v>
      </c>
      <c r="G228" s="1" t="str">
        <f>VLOOKUP(InputData[[#This Row],[CUSTOMER NAME]],Country[],2,0)</f>
        <v>Ethiopia</v>
      </c>
      <c r="H228" s="1" t="str">
        <f>VLOOKUP(InputData[[#This Row],[CUSTOMER NAME]],Country[],3,0)</f>
        <v>Export</v>
      </c>
      <c r="I228" s="1" t="str">
        <f>TEXT(InputData[[#This Row],[DATE]],"mmmm")</f>
        <v>March</v>
      </c>
      <c r="J228" s="1" t="str">
        <f>TEXT(InputData[[#This Row],[DATE]],"ddd")</f>
        <v>Mon</v>
      </c>
      <c r="K228" s="14">
        <f>WEEKNUM(InputData[[#This Row],[DATE]])</f>
        <v>14</v>
      </c>
      <c r="N228"/>
      <c r="R228" s="3" t="s">
        <v>49</v>
      </c>
      <c r="S228" s="1" t="str">
        <f t="shared" si="6"/>
        <v>Baxter &amp; Kline Supplies</v>
      </c>
      <c r="V228"/>
      <c r="Z228" s="11" t="s">
        <v>32</v>
      </c>
      <c r="AA228" s="1" t="str">
        <f t="shared" si="7"/>
        <v>Corner Bracket 50mm</v>
      </c>
      <c r="AF228"/>
    </row>
    <row r="229" spans="1:32" x14ac:dyDescent="0.3">
      <c r="A229" s="10">
        <v>44285</v>
      </c>
      <c r="B229" s="3" t="s">
        <v>146</v>
      </c>
      <c r="C229" s="11" t="s">
        <v>266</v>
      </c>
      <c r="D229" s="12">
        <v>79.92</v>
      </c>
      <c r="E229" s="1">
        <v>1</v>
      </c>
      <c r="F229" s="13">
        <f>InputData[[#This Row],[QUANTITY]]*InputData[[#This Row],[UNIT PRICE (R)]]</f>
        <v>79.92</v>
      </c>
      <c r="G229" s="1" t="str">
        <f>VLOOKUP(InputData[[#This Row],[CUSTOMER NAME]],Country[],2,0)</f>
        <v>Saudi Arabia</v>
      </c>
      <c r="H229" s="1" t="str">
        <f>VLOOKUP(InputData[[#This Row],[CUSTOMER NAME]],Country[],3,0)</f>
        <v>Export</v>
      </c>
      <c r="I229" s="1" t="str">
        <f>TEXT(InputData[[#This Row],[DATE]],"mmmm")</f>
        <v>March</v>
      </c>
      <c r="J229" s="1" t="str">
        <f>TEXT(InputData[[#This Row],[DATE]],"ddd")</f>
        <v>Tue</v>
      </c>
      <c r="K229" s="14">
        <f>WEEKNUM(InputData[[#This Row],[DATE]])</f>
        <v>14</v>
      </c>
      <c r="N229"/>
      <c r="R229" s="3" t="s">
        <v>72</v>
      </c>
      <c r="S229" s="1" t="str">
        <f t="shared" si="6"/>
        <v>Hendricks Mercantile</v>
      </c>
      <c r="V229"/>
      <c r="Z229" s="11" t="s">
        <v>35</v>
      </c>
      <c r="AA229" s="1" t="str">
        <f t="shared" si="7"/>
        <v>T-Bracket 100mm</v>
      </c>
      <c r="AF229"/>
    </row>
    <row r="230" spans="1:32" x14ac:dyDescent="0.3">
      <c r="A230" s="10">
        <v>44285</v>
      </c>
      <c r="B230" s="3" t="s">
        <v>156</v>
      </c>
      <c r="C230" s="11" t="s">
        <v>229</v>
      </c>
      <c r="D230" s="12">
        <v>103.88</v>
      </c>
      <c r="E230" s="1">
        <v>13</v>
      </c>
      <c r="F230" s="13">
        <f>InputData[[#This Row],[QUANTITY]]*InputData[[#This Row],[UNIT PRICE (R)]]</f>
        <v>1350.44</v>
      </c>
      <c r="G230" s="1" t="str">
        <f>VLOOKUP(InputData[[#This Row],[CUSTOMER NAME]],Country[],2,0)</f>
        <v>India</v>
      </c>
      <c r="H230" s="1" t="str">
        <f>VLOOKUP(InputData[[#This Row],[CUSTOMER NAME]],Country[],3,0)</f>
        <v>East</v>
      </c>
      <c r="I230" s="1" t="str">
        <f>TEXT(InputData[[#This Row],[DATE]],"mmmm")</f>
        <v>March</v>
      </c>
      <c r="J230" s="1" t="str">
        <f>TEXT(InputData[[#This Row],[DATE]],"ddd")</f>
        <v>Tue</v>
      </c>
      <c r="K230" s="14">
        <f>WEEKNUM(InputData[[#This Row],[DATE]])</f>
        <v>14</v>
      </c>
      <c r="N230"/>
      <c r="R230" s="3" t="s">
        <v>51</v>
      </c>
      <c r="S230" s="1" t="str">
        <f t="shared" si="6"/>
        <v>Coastal Fittings Ltd</v>
      </c>
      <c r="V230"/>
      <c r="Z230" s="11" t="s">
        <v>38</v>
      </c>
      <c r="AA230" s="1" t="str">
        <f t="shared" si="7"/>
        <v>Cable Tie 300mm</v>
      </c>
      <c r="AF230"/>
    </row>
    <row r="231" spans="1:32" x14ac:dyDescent="0.3">
      <c r="A231" s="10">
        <v>44286</v>
      </c>
      <c r="B231" s="3" t="s">
        <v>160</v>
      </c>
      <c r="C231" s="11" t="s">
        <v>270</v>
      </c>
      <c r="D231" s="12">
        <v>162</v>
      </c>
      <c r="E231" s="1">
        <v>3</v>
      </c>
      <c r="F231" s="13">
        <f>InputData[[#This Row],[QUANTITY]]*InputData[[#This Row],[UNIT PRICE (R)]]</f>
        <v>486</v>
      </c>
      <c r="G231" s="1" t="str">
        <f>VLOOKUP(InputData[[#This Row],[CUSTOMER NAME]],Country[],2,0)</f>
        <v>India</v>
      </c>
      <c r="H231" s="1" t="str">
        <f>VLOOKUP(InputData[[#This Row],[CUSTOMER NAME]],Country[],3,0)</f>
        <v>Western</v>
      </c>
      <c r="I231" s="1" t="str">
        <f>TEXT(InputData[[#This Row],[DATE]],"mmmm")</f>
        <v>March</v>
      </c>
      <c r="J231" s="1" t="str">
        <f>TEXT(InputData[[#This Row],[DATE]],"ddd")</f>
        <v>Wed</v>
      </c>
      <c r="K231" s="14">
        <f>WEEKNUM(InputData[[#This Row],[DATE]])</f>
        <v>14</v>
      </c>
      <c r="N231"/>
      <c r="R231" s="3" t="s">
        <v>61</v>
      </c>
      <c r="S231" s="1" t="str">
        <f t="shared" si="6"/>
        <v>Fairstone Retail Group</v>
      </c>
      <c r="V231"/>
      <c r="Z231" s="11" t="s">
        <v>1</v>
      </c>
      <c r="AA231" s="1" t="str">
        <f t="shared" si="7"/>
        <v>Hex Bolt M8</v>
      </c>
      <c r="AF231"/>
    </row>
    <row r="232" spans="1:32" x14ac:dyDescent="0.3">
      <c r="A232" s="10">
        <v>44286</v>
      </c>
      <c r="B232" s="3" t="s">
        <v>172</v>
      </c>
      <c r="C232" s="11" t="s">
        <v>233</v>
      </c>
      <c r="D232" s="12">
        <v>155.61000000000001</v>
      </c>
      <c r="E232" s="1">
        <v>33</v>
      </c>
      <c r="F232" s="13">
        <f>InputData[[#This Row],[QUANTITY]]*InputData[[#This Row],[UNIT PRICE (R)]]</f>
        <v>5135.13</v>
      </c>
      <c r="G232" s="1" t="str">
        <f>VLOOKUP(InputData[[#This Row],[CUSTOMER NAME]],Country[],2,0)</f>
        <v>Mexico</v>
      </c>
      <c r="H232" s="1" t="str">
        <f>VLOOKUP(InputData[[#This Row],[CUSTOMER NAME]],Country[],3,0)</f>
        <v>Export</v>
      </c>
      <c r="I232" s="1" t="str">
        <f>TEXT(InputData[[#This Row],[DATE]],"mmmm")</f>
        <v>March</v>
      </c>
      <c r="J232" s="1" t="str">
        <f>TEXT(InputData[[#This Row],[DATE]],"ddd")</f>
        <v>Wed</v>
      </c>
      <c r="K232" s="14">
        <f>WEEKNUM(InputData[[#This Row],[DATE]])</f>
        <v>14</v>
      </c>
      <c r="N232"/>
      <c r="R232" s="3" t="s">
        <v>65</v>
      </c>
      <c r="S232" s="1" t="str">
        <f t="shared" si="6"/>
        <v>Talbot Street Merchants</v>
      </c>
      <c r="V232"/>
      <c r="Z232" s="11" t="s">
        <v>42</v>
      </c>
      <c r="AA232" s="1" t="str">
        <f t="shared" si="7"/>
        <v>PVC Coupling 25mm</v>
      </c>
      <c r="AF232"/>
    </row>
    <row r="233" spans="1:32" x14ac:dyDescent="0.3">
      <c r="A233" s="10">
        <v>44287</v>
      </c>
      <c r="B233" s="3" t="s">
        <v>150</v>
      </c>
      <c r="C233" s="11" t="s">
        <v>239</v>
      </c>
      <c r="D233" s="12">
        <v>48.4</v>
      </c>
      <c r="E233" s="1">
        <v>3</v>
      </c>
      <c r="F233" s="13">
        <f>InputData[[#This Row],[QUANTITY]]*InputData[[#This Row],[UNIT PRICE (R)]]</f>
        <v>145.19999999999999</v>
      </c>
      <c r="G233" s="1" t="str">
        <f>VLOOKUP(InputData[[#This Row],[CUSTOMER NAME]],Country[],2,0)</f>
        <v>United Kingdom</v>
      </c>
      <c r="H233" s="1" t="str">
        <f>VLOOKUP(InputData[[#This Row],[CUSTOMER NAME]],Country[],3,0)</f>
        <v>Export</v>
      </c>
      <c r="I233" s="1" t="str">
        <f>TEXT(InputData[[#This Row],[DATE]],"mmmm")</f>
        <v>April</v>
      </c>
      <c r="J233" s="1" t="str">
        <f>TEXT(InputData[[#This Row],[DATE]],"ddd")</f>
        <v>Thu</v>
      </c>
      <c r="K233" s="14">
        <f>WEEKNUM(InputData[[#This Row],[DATE]])</f>
        <v>14</v>
      </c>
      <c r="N233"/>
      <c r="R233" s="3" t="s">
        <v>77</v>
      </c>
      <c r="S233" s="1" t="str">
        <f t="shared" si="6"/>
        <v>Fenwick Traders</v>
      </c>
      <c r="V233"/>
      <c r="Z233" s="11" t="s">
        <v>5</v>
      </c>
      <c r="AA233" s="1" t="str">
        <f t="shared" si="7"/>
        <v>Wing Nut M6</v>
      </c>
      <c r="AF233"/>
    </row>
    <row r="234" spans="1:32" x14ac:dyDescent="0.3">
      <c r="A234" s="10">
        <v>44287</v>
      </c>
      <c r="B234" s="3" t="s">
        <v>171</v>
      </c>
      <c r="C234" s="11" t="s">
        <v>230</v>
      </c>
      <c r="D234" s="12">
        <v>142.80000000000001</v>
      </c>
      <c r="E234" s="1">
        <v>2</v>
      </c>
      <c r="F234" s="13">
        <f>InputData[[#This Row],[QUANTITY]]*InputData[[#This Row],[UNIT PRICE (R)]]</f>
        <v>285.60000000000002</v>
      </c>
      <c r="G234" s="1" t="str">
        <f>VLOOKUP(InputData[[#This Row],[CUSTOMER NAME]],Country[],2,0)</f>
        <v>India</v>
      </c>
      <c r="H234" s="1" t="str">
        <f>VLOOKUP(InputData[[#This Row],[CUSTOMER NAME]],Country[],3,0)</f>
        <v>South</v>
      </c>
      <c r="I234" s="1" t="str">
        <f>TEXT(InputData[[#This Row],[DATE]],"mmmm")</f>
        <v>April</v>
      </c>
      <c r="J234" s="1" t="str">
        <f>TEXT(InputData[[#This Row],[DATE]],"ddd")</f>
        <v>Thu</v>
      </c>
      <c r="K234" s="14">
        <f>WEEKNUM(InputData[[#This Row],[DATE]])</f>
        <v>14</v>
      </c>
      <c r="N234"/>
      <c r="R234" s="3" t="s">
        <v>55</v>
      </c>
      <c r="S234" s="1" t="str">
        <f t="shared" si="6"/>
        <v>Silverline Wholesalers</v>
      </c>
      <c r="V234"/>
      <c r="Z234" s="11" t="s">
        <v>11</v>
      </c>
      <c r="AA234" s="1" t="str">
        <f t="shared" si="7"/>
        <v>Wood Screw 40mm</v>
      </c>
      <c r="AF234"/>
    </row>
    <row r="235" spans="1:32" x14ac:dyDescent="0.3">
      <c r="A235" s="10">
        <v>44288</v>
      </c>
      <c r="B235" s="3" t="s">
        <v>144</v>
      </c>
      <c r="C235" s="11" t="s">
        <v>265</v>
      </c>
      <c r="D235" s="12">
        <v>85.76</v>
      </c>
      <c r="E235" s="1">
        <v>24</v>
      </c>
      <c r="F235" s="13">
        <f>InputData[[#This Row],[QUANTITY]]*InputData[[#This Row],[UNIT PRICE (R)]]</f>
        <v>2058.2400000000002</v>
      </c>
      <c r="G235" s="1" t="str">
        <f>VLOOKUP(InputData[[#This Row],[CUSTOMER NAME]],Country[],2,0)</f>
        <v>Bangladesh</v>
      </c>
      <c r="H235" s="1" t="str">
        <f>VLOOKUP(InputData[[#This Row],[CUSTOMER NAME]],Country[],3,0)</f>
        <v>Export</v>
      </c>
      <c r="I235" s="1" t="str">
        <f>TEXT(InputData[[#This Row],[DATE]],"mmmm")</f>
        <v>April</v>
      </c>
      <c r="J235" s="1" t="str">
        <f>TEXT(InputData[[#This Row],[DATE]],"ddd")</f>
        <v>Fri</v>
      </c>
      <c r="K235" s="14">
        <f>WEEKNUM(InputData[[#This Row],[DATE]])</f>
        <v>14</v>
      </c>
      <c r="N235"/>
      <c r="R235" s="3" t="s">
        <v>76</v>
      </c>
      <c r="S235" s="1" t="str">
        <f t="shared" si="6"/>
        <v>Overton Retail Solutions</v>
      </c>
      <c r="V235"/>
      <c r="Z235" s="11" t="s">
        <v>2</v>
      </c>
      <c r="AA235" s="1" t="str">
        <f t="shared" si="7"/>
        <v>Hex Bolt M10</v>
      </c>
      <c r="AF235"/>
    </row>
    <row r="236" spans="1:32" x14ac:dyDescent="0.3">
      <c r="A236" s="10">
        <v>44288</v>
      </c>
      <c r="B236" s="3" t="s">
        <v>154</v>
      </c>
      <c r="C236" s="11" t="s">
        <v>230</v>
      </c>
      <c r="D236" s="12">
        <v>142.80000000000001</v>
      </c>
      <c r="E236" s="1">
        <v>3</v>
      </c>
      <c r="F236" s="13">
        <f>InputData[[#This Row],[QUANTITY]]*InputData[[#This Row],[UNIT PRICE (R)]]</f>
        <v>428.40000000000003</v>
      </c>
      <c r="G236" s="1" t="str">
        <f>VLOOKUP(InputData[[#This Row],[CUSTOMER NAME]],Country[],2,0)</f>
        <v>India</v>
      </c>
      <c r="H236" s="1" t="str">
        <f>VLOOKUP(InputData[[#This Row],[CUSTOMER NAME]],Country[],3,0)</f>
        <v>Central</v>
      </c>
      <c r="I236" s="1" t="str">
        <f>TEXT(InputData[[#This Row],[DATE]],"mmmm")</f>
        <v>April</v>
      </c>
      <c r="J236" s="1" t="str">
        <f>TEXT(InputData[[#This Row],[DATE]],"ddd")</f>
        <v>Fri</v>
      </c>
      <c r="K236" s="14">
        <f>WEEKNUM(InputData[[#This Row],[DATE]])</f>
        <v>14</v>
      </c>
      <c r="N236"/>
      <c r="R236" s="3" t="s">
        <v>49</v>
      </c>
      <c r="S236" s="1" t="str">
        <f t="shared" si="6"/>
        <v>Baxter &amp; Kline Supplies</v>
      </c>
      <c r="V236"/>
      <c r="Z236" s="11" t="s">
        <v>37</v>
      </c>
      <c r="AA236" s="1" t="str">
        <f t="shared" si="7"/>
        <v>Turnbuckle Hook M6</v>
      </c>
      <c r="AF236"/>
    </row>
    <row r="237" spans="1:32" x14ac:dyDescent="0.3">
      <c r="A237" s="10">
        <v>44290</v>
      </c>
      <c r="B237" s="3" t="s">
        <v>144</v>
      </c>
      <c r="C237" s="11" t="s">
        <v>237</v>
      </c>
      <c r="D237" s="12">
        <v>7.8599999999999994</v>
      </c>
      <c r="E237" s="1">
        <v>9</v>
      </c>
      <c r="F237" s="13">
        <f>InputData[[#This Row],[QUANTITY]]*InputData[[#This Row],[UNIT PRICE (R)]]</f>
        <v>70.739999999999995</v>
      </c>
      <c r="G237" s="1" t="str">
        <f>VLOOKUP(InputData[[#This Row],[CUSTOMER NAME]],Country[],2,0)</f>
        <v>Bangladesh</v>
      </c>
      <c r="H237" s="1" t="str">
        <f>VLOOKUP(InputData[[#This Row],[CUSTOMER NAME]],Country[],3,0)</f>
        <v>Export</v>
      </c>
      <c r="I237" s="1" t="str">
        <f>TEXT(InputData[[#This Row],[DATE]],"mmmm")</f>
        <v>April</v>
      </c>
      <c r="J237" s="1" t="str">
        <f>TEXT(InputData[[#This Row],[DATE]],"ddd")</f>
        <v>Sun</v>
      </c>
      <c r="K237" s="14">
        <f>WEEKNUM(InputData[[#This Row],[DATE]])</f>
        <v>15</v>
      </c>
      <c r="N237"/>
      <c r="R237" s="3" t="s">
        <v>59</v>
      </c>
      <c r="S237" s="1" t="str">
        <f t="shared" si="6"/>
        <v>Bellview Enterprises</v>
      </c>
      <c r="V237"/>
      <c r="Z237" s="11" t="s">
        <v>2</v>
      </c>
      <c r="AA237" s="1" t="str">
        <f t="shared" si="7"/>
        <v>Hex Bolt M10</v>
      </c>
      <c r="AF237"/>
    </row>
    <row r="238" spans="1:32" x14ac:dyDescent="0.3">
      <c r="A238" s="10">
        <v>44290</v>
      </c>
      <c r="B238" s="3" t="s">
        <v>146</v>
      </c>
      <c r="C238" s="11" t="s">
        <v>262</v>
      </c>
      <c r="D238" s="12">
        <v>58.3</v>
      </c>
      <c r="E238" s="1">
        <v>20</v>
      </c>
      <c r="F238" s="13">
        <f>InputData[[#This Row],[QUANTITY]]*InputData[[#This Row],[UNIT PRICE (R)]]</f>
        <v>1166</v>
      </c>
      <c r="G238" s="1" t="str">
        <f>VLOOKUP(InputData[[#This Row],[CUSTOMER NAME]],Country[],2,0)</f>
        <v>Saudi Arabia</v>
      </c>
      <c r="H238" s="1" t="str">
        <f>VLOOKUP(InputData[[#This Row],[CUSTOMER NAME]],Country[],3,0)</f>
        <v>Export</v>
      </c>
      <c r="I238" s="1" t="str">
        <f>TEXT(InputData[[#This Row],[DATE]],"mmmm")</f>
        <v>April</v>
      </c>
      <c r="J238" s="1" t="str">
        <f>TEXT(InputData[[#This Row],[DATE]],"ddd")</f>
        <v>Sun</v>
      </c>
      <c r="K238" s="14">
        <f>WEEKNUM(InputData[[#This Row],[DATE]])</f>
        <v>15</v>
      </c>
      <c r="N238"/>
      <c r="R238" s="3" t="s">
        <v>49</v>
      </c>
      <c r="S238" s="1" t="str">
        <f t="shared" si="6"/>
        <v>Baxter &amp; Kline Supplies</v>
      </c>
      <c r="V238"/>
      <c r="Z238" s="11" t="s">
        <v>9</v>
      </c>
      <c r="AA238" s="1" t="str">
        <f t="shared" si="7"/>
        <v>Threaded Rod M12</v>
      </c>
      <c r="AF238"/>
    </row>
    <row r="239" spans="1:32" x14ac:dyDescent="0.3">
      <c r="A239" s="10">
        <v>44290</v>
      </c>
      <c r="B239" s="3" t="s">
        <v>178</v>
      </c>
      <c r="C239" s="11" t="s">
        <v>268</v>
      </c>
      <c r="D239" s="12">
        <v>115.2</v>
      </c>
      <c r="E239" s="1">
        <v>4</v>
      </c>
      <c r="F239" s="13">
        <f>InputData[[#This Row],[QUANTITY]]*InputData[[#This Row],[UNIT PRICE (R)]]</f>
        <v>460.8</v>
      </c>
      <c r="G239" s="1" t="str">
        <f>VLOOKUP(InputData[[#This Row],[CUSTOMER NAME]],Country[],2,0)</f>
        <v>Pakistan</v>
      </c>
      <c r="H239" s="1" t="str">
        <f>VLOOKUP(InputData[[#This Row],[CUSTOMER NAME]],Country[],3,0)</f>
        <v>Export</v>
      </c>
      <c r="I239" s="1" t="str">
        <f>TEXT(InputData[[#This Row],[DATE]],"mmmm")</f>
        <v>April</v>
      </c>
      <c r="J239" s="1" t="str">
        <f>TEXT(InputData[[#This Row],[DATE]],"ddd")</f>
        <v>Sun</v>
      </c>
      <c r="K239" s="14">
        <f>WEEKNUM(InputData[[#This Row],[DATE]])</f>
        <v>15</v>
      </c>
      <c r="N239"/>
      <c r="R239" s="3" t="s">
        <v>51</v>
      </c>
      <c r="S239" s="1" t="str">
        <f t="shared" si="6"/>
        <v>Coastal Fittings Ltd</v>
      </c>
      <c r="V239"/>
      <c r="Z239" s="11" t="s">
        <v>34</v>
      </c>
      <c r="AA239" s="1" t="str">
        <f t="shared" si="7"/>
        <v>L-Bracket 75mm</v>
      </c>
      <c r="AF239"/>
    </row>
    <row r="240" spans="1:32" x14ac:dyDescent="0.3">
      <c r="A240" s="10">
        <v>44291</v>
      </c>
      <c r="B240" s="3" t="s">
        <v>175</v>
      </c>
      <c r="C240" s="11" t="s">
        <v>229</v>
      </c>
      <c r="D240" s="12">
        <v>103.88</v>
      </c>
      <c r="E240" s="1">
        <v>34</v>
      </c>
      <c r="F240" s="13">
        <f>InputData[[#This Row],[QUANTITY]]*InputData[[#This Row],[UNIT PRICE (R)]]</f>
        <v>3531.92</v>
      </c>
      <c r="G240" s="1" t="str">
        <f>VLOOKUP(InputData[[#This Row],[CUSTOMER NAME]],Country[],2,0)</f>
        <v>India</v>
      </c>
      <c r="H240" s="1" t="str">
        <f>VLOOKUP(InputData[[#This Row],[CUSTOMER NAME]],Country[],3,0)</f>
        <v>Western</v>
      </c>
      <c r="I240" s="1" t="str">
        <f>TEXT(InputData[[#This Row],[DATE]],"mmmm")</f>
        <v>April</v>
      </c>
      <c r="J240" s="1" t="str">
        <f>TEXT(InputData[[#This Row],[DATE]],"ddd")</f>
        <v>Mon</v>
      </c>
      <c r="K240" s="14">
        <f>WEEKNUM(InputData[[#This Row],[DATE]])</f>
        <v>15</v>
      </c>
      <c r="N240"/>
      <c r="R240" s="3" t="s">
        <v>100</v>
      </c>
      <c r="S240" s="1" t="str">
        <f t="shared" si="6"/>
        <v>Pemberton &amp; Associates</v>
      </c>
      <c r="V240"/>
      <c r="Z240" s="11" t="s">
        <v>40</v>
      </c>
      <c r="AA240" s="1" t="str">
        <f t="shared" si="7"/>
        <v>Conduit Clamp 25mm</v>
      </c>
      <c r="AF240"/>
    </row>
    <row r="241" spans="1:32" x14ac:dyDescent="0.3">
      <c r="A241" s="10">
        <v>44291</v>
      </c>
      <c r="B241" s="3" t="s">
        <v>163</v>
      </c>
      <c r="C241" s="11" t="s">
        <v>259</v>
      </c>
      <c r="D241" s="12">
        <v>104.16</v>
      </c>
      <c r="E241" s="1">
        <v>15</v>
      </c>
      <c r="F241" s="13">
        <f>InputData[[#This Row],[QUANTITY]]*InputData[[#This Row],[UNIT PRICE (R)]]</f>
        <v>1562.3999999999999</v>
      </c>
      <c r="G241" s="1" t="str">
        <f>VLOOKUP(InputData[[#This Row],[CUSTOMER NAME]],Country[],2,0)</f>
        <v>South Africa</v>
      </c>
      <c r="H241" s="1" t="str">
        <f>VLOOKUP(InputData[[#This Row],[CUSTOMER NAME]],Country[],3,0)</f>
        <v>Export</v>
      </c>
      <c r="I241" s="1" t="str">
        <f>TEXT(InputData[[#This Row],[DATE]],"mmmm")</f>
        <v>April</v>
      </c>
      <c r="J241" s="1" t="str">
        <f>TEXT(InputData[[#This Row],[DATE]],"ddd")</f>
        <v>Mon</v>
      </c>
      <c r="K241" s="14">
        <f>WEEKNUM(InputData[[#This Row],[DATE]])</f>
        <v>15</v>
      </c>
      <c r="N241"/>
      <c r="R241" s="3" t="s">
        <v>97</v>
      </c>
      <c r="S241" s="1" t="str">
        <f t="shared" si="6"/>
        <v>Stonebridge Commercial</v>
      </c>
      <c r="V241"/>
      <c r="Z241" s="11" t="s">
        <v>1</v>
      </c>
      <c r="AA241" s="1" t="str">
        <f t="shared" si="7"/>
        <v>Hex Bolt M8</v>
      </c>
      <c r="AF241"/>
    </row>
    <row r="242" spans="1:32" x14ac:dyDescent="0.3">
      <c r="A242" s="10">
        <v>44291</v>
      </c>
      <c r="B242" s="3" t="s">
        <v>178</v>
      </c>
      <c r="C242" s="11" t="s">
        <v>236</v>
      </c>
      <c r="D242" s="12">
        <v>94.62</v>
      </c>
      <c r="E242" s="1">
        <v>29</v>
      </c>
      <c r="F242" s="13">
        <f>InputData[[#This Row],[QUANTITY]]*InputData[[#This Row],[UNIT PRICE (R)]]</f>
        <v>2743.98</v>
      </c>
      <c r="G242" s="1" t="str">
        <f>VLOOKUP(InputData[[#This Row],[CUSTOMER NAME]],Country[],2,0)</f>
        <v>Pakistan</v>
      </c>
      <c r="H242" s="1" t="str">
        <f>VLOOKUP(InputData[[#This Row],[CUSTOMER NAME]],Country[],3,0)</f>
        <v>Export</v>
      </c>
      <c r="I242" s="1" t="str">
        <f>TEXT(InputData[[#This Row],[DATE]],"mmmm")</f>
        <v>April</v>
      </c>
      <c r="J242" s="1" t="str">
        <f>TEXT(InputData[[#This Row],[DATE]],"ddd")</f>
        <v>Mon</v>
      </c>
      <c r="K242" s="14">
        <f>WEEKNUM(InputData[[#This Row],[DATE]])</f>
        <v>15</v>
      </c>
      <c r="N242"/>
      <c r="R242" s="3" t="s">
        <v>68</v>
      </c>
      <c r="S242" s="1" t="str">
        <f t="shared" si="6"/>
        <v>Delacroix Wholesale</v>
      </c>
      <c r="V242"/>
      <c r="Z242" s="11" t="s">
        <v>31</v>
      </c>
      <c r="AA242" s="1" t="str">
        <f t="shared" si="7"/>
        <v>Gate Bolt 150mm</v>
      </c>
      <c r="AF242"/>
    </row>
    <row r="243" spans="1:32" x14ac:dyDescent="0.3">
      <c r="A243" s="10">
        <v>44292</v>
      </c>
      <c r="B243" s="3" t="s">
        <v>175</v>
      </c>
      <c r="C243" s="11" t="s">
        <v>249</v>
      </c>
      <c r="D243" s="12">
        <v>162.54</v>
      </c>
      <c r="E243" s="1">
        <v>39</v>
      </c>
      <c r="F243" s="13">
        <f>InputData[[#This Row],[QUANTITY]]*InputData[[#This Row],[UNIT PRICE (R)]]</f>
        <v>6339.0599999999995</v>
      </c>
      <c r="G243" s="1" t="str">
        <f>VLOOKUP(InputData[[#This Row],[CUSTOMER NAME]],Country[],2,0)</f>
        <v>India</v>
      </c>
      <c r="H243" s="1" t="str">
        <f>VLOOKUP(InputData[[#This Row],[CUSTOMER NAME]],Country[],3,0)</f>
        <v>Western</v>
      </c>
      <c r="I243" s="1" t="str">
        <f>TEXT(InputData[[#This Row],[DATE]],"mmmm")</f>
        <v>April</v>
      </c>
      <c r="J243" s="1" t="str">
        <f>TEXT(InputData[[#This Row],[DATE]],"ddd")</f>
        <v>Tue</v>
      </c>
      <c r="K243" s="14">
        <f>WEEKNUM(InputData[[#This Row],[DATE]])</f>
        <v>15</v>
      </c>
      <c r="N243"/>
      <c r="R243" s="3" t="s">
        <v>100</v>
      </c>
      <c r="S243" s="1" t="str">
        <f t="shared" si="6"/>
        <v>Pemberton &amp; Associates</v>
      </c>
      <c r="V243"/>
      <c r="Z243" s="11" t="s">
        <v>8</v>
      </c>
      <c r="AA243" s="1" t="str">
        <f t="shared" si="7"/>
        <v>Flat Washer M10</v>
      </c>
      <c r="AF243"/>
    </row>
    <row r="244" spans="1:32" x14ac:dyDescent="0.3">
      <c r="A244" s="10">
        <v>44292</v>
      </c>
      <c r="B244" s="3" t="s">
        <v>159</v>
      </c>
      <c r="C244" s="11" t="s">
        <v>268</v>
      </c>
      <c r="D244" s="12">
        <v>115.2</v>
      </c>
      <c r="E244" s="1">
        <v>2</v>
      </c>
      <c r="F244" s="13">
        <f>InputData[[#This Row],[QUANTITY]]*InputData[[#This Row],[UNIT PRICE (R)]]</f>
        <v>230.4</v>
      </c>
      <c r="G244" s="1" t="str">
        <f>VLOOKUP(InputData[[#This Row],[CUSTOMER NAME]],Country[],2,0)</f>
        <v>Saudi Arabia</v>
      </c>
      <c r="H244" s="1" t="str">
        <f>VLOOKUP(InputData[[#This Row],[CUSTOMER NAME]],Country[],3,0)</f>
        <v>Export</v>
      </c>
      <c r="I244" s="1" t="str">
        <f>TEXT(InputData[[#This Row],[DATE]],"mmmm")</f>
        <v>April</v>
      </c>
      <c r="J244" s="1" t="str">
        <f>TEXT(InputData[[#This Row],[DATE]],"ddd")</f>
        <v>Tue</v>
      </c>
      <c r="K244" s="14">
        <f>WEEKNUM(InputData[[#This Row],[DATE]])</f>
        <v>15</v>
      </c>
      <c r="N244"/>
      <c r="R244" s="3" t="s">
        <v>97</v>
      </c>
      <c r="S244" s="1" t="str">
        <f t="shared" si="6"/>
        <v>Stonebridge Commercial</v>
      </c>
      <c r="V244"/>
      <c r="Z244" s="11" t="s">
        <v>21</v>
      </c>
      <c r="AA244" s="1" t="str">
        <f t="shared" si="7"/>
        <v>Pipe Clamp 25mm</v>
      </c>
      <c r="AF244"/>
    </row>
    <row r="245" spans="1:32" x14ac:dyDescent="0.3">
      <c r="A245" s="10">
        <v>44293</v>
      </c>
      <c r="B245" s="3" t="s">
        <v>156</v>
      </c>
      <c r="C245" s="11" t="s">
        <v>254</v>
      </c>
      <c r="D245" s="12">
        <v>24.66</v>
      </c>
      <c r="E245" s="1">
        <v>7</v>
      </c>
      <c r="F245" s="13">
        <f>InputData[[#This Row],[QUANTITY]]*InputData[[#This Row],[UNIT PRICE (R)]]</f>
        <v>172.62</v>
      </c>
      <c r="G245" s="1" t="str">
        <f>VLOOKUP(InputData[[#This Row],[CUSTOMER NAME]],Country[],2,0)</f>
        <v>India</v>
      </c>
      <c r="H245" s="1" t="str">
        <f>VLOOKUP(InputData[[#This Row],[CUSTOMER NAME]],Country[],3,0)</f>
        <v>East</v>
      </c>
      <c r="I245" s="1" t="str">
        <f>TEXT(InputData[[#This Row],[DATE]],"mmmm")</f>
        <v>April</v>
      </c>
      <c r="J245" s="1" t="str">
        <f>TEXT(InputData[[#This Row],[DATE]],"ddd")</f>
        <v>Wed</v>
      </c>
      <c r="K245" s="14">
        <f>WEEKNUM(InputData[[#This Row],[DATE]])</f>
        <v>15</v>
      </c>
      <c r="N245"/>
      <c r="R245" s="3" t="s">
        <v>64</v>
      </c>
      <c r="S245" s="1" t="str">
        <f t="shared" si="6"/>
        <v>Ridgeway Commercial</v>
      </c>
      <c r="V245"/>
      <c r="Z245" s="11" t="s">
        <v>40</v>
      </c>
      <c r="AA245" s="1" t="str">
        <f t="shared" si="7"/>
        <v>Conduit Clamp 25mm</v>
      </c>
      <c r="AF245"/>
    </row>
    <row r="246" spans="1:32" x14ac:dyDescent="0.3">
      <c r="A246" s="10">
        <v>44295</v>
      </c>
      <c r="B246" s="3" t="s">
        <v>150</v>
      </c>
      <c r="C246" s="11" t="s">
        <v>230</v>
      </c>
      <c r="D246" s="12">
        <v>142.80000000000001</v>
      </c>
      <c r="E246" s="1">
        <v>9</v>
      </c>
      <c r="F246" s="13">
        <f>InputData[[#This Row],[QUANTITY]]*InputData[[#This Row],[UNIT PRICE (R)]]</f>
        <v>1285.2</v>
      </c>
      <c r="G246" s="1" t="str">
        <f>VLOOKUP(InputData[[#This Row],[CUSTOMER NAME]],Country[],2,0)</f>
        <v>United Kingdom</v>
      </c>
      <c r="H246" s="1" t="str">
        <f>VLOOKUP(InputData[[#This Row],[CUSTOMER NAME]],Country[],3,0)</f>
        <v>Export</v>
      </c>
      <c r="I246" s="1" t="str">
        <f>TEXT(InputData[[#This Row],[DATE]],"mmmm")</f>
        <v>April</v>
      </c>
      <c r="J246" s="1" t="str">
        <f>TEXT(InputData[[#This Row],[DATE]],"ddd")</f>
        <v>Fri</v>
      </c>
      <c r="K246" s="14">
        <f>WEEKNUM(InputData[[#This Row],[DATE]])</f>
        <v>15</v>
      </c>
      <c r="N246"/>
      <c r="R246" s="3" t="s">
        <v>61</v>
      </c>
      <c r="S246" s="1" t="str">
        <f t="shared" si="6"/>
        <v>Fairstone Retail Group</v>
      </c>
      <c r="V246"/>
      <c r="Z246" s="11" t="s">
        <v>26</v>
      </c>
      <c r="AA246" s="1" t="str">
        <f t="shared" si="7"/>
        <v>Chain Link 6mm</v>
      </c>
      <c r="AF246"/>
    </row>
    <row r="247" spans="1:32" x14ac:dyDescent="0.3">
      <c r="A247" s="10">
        <v>44295</v>
      </c>
      <c r="B247" s="3" t="s">
        <v>159</v>
      </c>
      <c r="C247" s="11" t="s">
        <v>233</v>
      </c>
      <c r="D247" s="12">
        <v>155.61000000000001</v>
      </c>
      <c r="E247" s="1">
        <v>3</v>
      </c>
      <c r="F247" s="13">
        <f>InputData[[#This Row],[QUANTITY]]*InputData[[#This Row],[UNIT PRICE (R)]]</f>
        <v>466.83000000000004</v>
      </c>
      <c r="G247" s="1" t="str">
        <f>VLOOKUP(InputData[[#This Row],[CUSTOMER NAME]],Country[],2,0)</f>
        <v>Saudi Arabia</v>
      </c>
      <c r="H247" s="1" t="str">
        <f>VLOOKUP(InputData[[#This Row],[CUSTOMER NAME]],Country[],3,0)</f>
        <v>Export</v>
      </c>
      <c r="I247" s="1" t="str">
        <f>TEXT(InputData[[#This Row],[DATE]],"mmmm")</f>
        <v>April</v>
      </c>
      <c r="J247" s="1" t="str">
        <f>TEXT(InputData[[#This Row],[DATE]],"ddd")</f>
        <v>Fri</v>
      </c>
      <c r="K247" s="14">
        <f>WEEKNUM(InputData[[#This Row],[DATE]])</f>
        <v>15</v>
      </c>
      <c r="N247"/>
      <c r="R247" s="3" t="s">
        <v>55</v>
      </c>
      <c r="S247" s="1" t="str">
        <f t="shared" si="6"/>
        <v>Silverline Wholesalers</v>
      </c>
      <c r="V247"/>
      <c r="Z247" s="11" t="s">
        <v>2</v>
      </c>
      <c r="AA247" s="1" t="str">
        <f t="shared" si="7"/>
        <v>Hex Bolt M10</v>
      </c>
      <c r="AF247"/>
    </row>
    <row r="248" spans="1:32" x14ac:dyDescent="0.3">
      <c r="A248" s="10">
        <v>44295</v>
      </c>
      <c r="B248" s="3" t="s">
        <v>159</v>
      </c>
      <c r="C248" s="11" t="s">
        <v>267</v>
      </c>
      <c r="D248" s="12">
        <v>42.55</v>
      </c>
      <c r="E248" s="1">
        <v>12</v>
      </c>
      <c r="F248" s="13">
        <f>InputData[[#This Row],[QUANTITY]]*InputData[[#This Row],[UNIT PRICE (R)]]</f>
        <v>510.59999999999997</v>
      </c>
      <c r="G248" s="1" t="str">
        <f>VLOOKUP(InputData[[#This Row],[CUSTOMER NAME]],Country[],2,0)</f>
        <v>Saudi Arabia</v>
      </c>
      <c r="H248" s="1" t="str">
        <f>VLOOKUP(InputData[[#This Row],[CUSTOMER NAME]],Country[],3,0)</f>
        <v>Export</v>
      </c>
      <c r="I248" s="1" t="str">
        <f>TEXT(InputData[[#This Row],[DATE]],"mmmm")</f>
        <v>April</v>
      </c>
      <c r="J248" s="1" t="str">
        <f>TEXT(InputData[[#This Row],[DATE]],"ddd")</f>
        <v>Fri</v>
      </c>
      <c r="K248" s="14">
        <f>WEEKNUM(InputData[[#This Row],[DATE]])</f>
        <v>15</v>
      </c>
      <c r="N248"/>
      <c r="R248" s="3" t="s">
        <v>64</v>
      </c>
      <c r="S248" s="1" t="str">
        <f t="shared" si="6"/>
        <v>Ridgeway Commercial</v>
      </c>
      <c r="V248"/>
      <c r="Z248" s="11" t="s">
        <v>5</v>
      </c>
      <c r="AA248" s="1" t="str">
        <f t="shared" si="7"/>
        <v>Wing Nut M6</v>
      </c>
      <c r="AF248"/>
    </row>
    <row r="249" spans="1:32" x14ac:dyDescent="0.3">
      <c r="A249" s="10">
        <v>44295</v>
      </c>
      <c r="B249" s="3" t="s">
        <v>165</v>
      </c>
      <c r="C249" s="11" t="s">
        <v>245</v>
      </c>
      <c r="D249" s="12">
        <v>156.78</v>
      </c>
      <c r="E249" s="1">
        <v>8</v>
      </c>
      <c r="F249" s="13">
        <f>InputData[[#This Row],[QUANTITY]]*InputData[[#This Row],[UNIT PRICE (R)]]</f>
        <v>1254.24</v>
      </c>
      <c r="G249" s="1" t="str">
        <f>VLOOKUP(InputData[[#This Row],[CUSTOMER NAME]],Country[],2,0)</f>
        <v>India</v>
      </c>
      <c r="H249" s="1" t="str">
        <f>VLOOKUP(InputData[[#This Row],[CUSTOMER NAME]],Country[],3,0)</f>
        <v>Western</v>
      </c>
      <c r="I249" s="1" t="str">
        <f>TEXT(InputData[[#This Row],[DATE]],"mmmm")</f>
        <v>April</v>
      </c>
      <c r="J249" s="1" t="str">
        <f>TEXT(InputData[[#This Row],[DATE]],"ddd")</f>
        <v>Fri</v>
      </c>
      <c r="K249" s="14">
        <f>WEEKNUM(InputData[[#This Row],[DATE]])</f>
        <v>15</v>
      </c>
      <c r="N249"/>
      <c r="R249" s="3" t="s">
        <v>64</v>
      </c>
      <c r="S249" s="1" t="str">
        <f t="shared" si="6"/>
        <v>Ridgeway Commercial</v>
      </c>
      <c r="V249"/>
      <c r="Z249" s="11" t="s">
        <v>39</v>
      </c>
      <c r="AA249" s="1" t="str">
        <f t="shared" si="7"/>
        <v>Cable Clip 20mm</v>
      </c>
      <c r="AF249"/>
    </row>
    <row r="250" spans="1:32" x14ac:dyDescent="0.3">
      <c r="A250" s="10">
        <v>44296</v>
      </c>
      <c r="B250" s="3" t="s">
        <v>175</v>
      </c>
      <c r="C250" s="11" t="s">
        <v>250</v>
      </c>
      <c r="D250" s="12">
        <v>141.57</v>
      </c>
      <c r="E250" s="1">
        <v>14</v>
      </c>
      <c r="F250" s="13">
        <f>InputData[[#This Row],[QUANTITY]]*InputData[[#This Row],[UNIT PRICE (R)]]</f>
        <v>1981.98</v>
      </c>
      <c r="G250" s="1" t="str">
        <f>VLOOKUP(InputData[[#This Row],[CUSTOMER NAME]],Country[],2,0)</f>
        <v>India</v>
      </c>
      <c r="H250" s="1" t="str">
        <f>VLOOKUP(InputData[[#This Row],[CUSTOMER NAME]],Country[],3,0)</f>
        <v>Western</v>
      </c>
      <c r="I250" s="1" t="str">
        <f>TEXT(InputData[[#This Row],[DATE]],"mmmm")</f>
        <v>April</v>
      </c>
      <c r="J250" s="1" t="str">
        <f>TEXT(InputData[[#This Row],[DATE]],"ddd")</f>
        <v>Sat</v>
      </c>
      <c r="K250" s="14">
        <f>WEEKNUM(InputData[[#This Row],[DATE]])</f>
        <v>15</v>
      </c>
      <c r="N250"/>
      <c r="R250" s="3" t="s">
        <v>70</v>
      </c>
      <c r="S250" s="1" t="str">
        <f t="shared" si="6"/>
        <v>Larkspur Retailers</v>
      </c>
      <c r="V250"/>
      <c r="Z250" s="11" t="s">
        <v>17</v>
      </c>
      <c r="AA250" s="1" t="str">
        <f t="shared" si="7"/>
        <v>Cotter Pin 3mm</v>
      </c>
      <c r="AF250"/>
    </row>
    <row r="251" spans="1:32" x14ac:dyDescent="0.3">
      <c r="A251" s="10">
        <v>44296</v>
      </c>
      <c r="B251" s="3" t="s">
        <v>154</v>
      </c>
      <c r="C251" s="11" t="s">
        <v>269</v>
      </c>
      <c r="D251" s="12">
        <v>173.88</v>
      </c>
      <c r="E251" s="1">
        <v>17</v>
      </c>
      <c r="F251" s="13">
        <f>InputData[[#This Row],[QUANTITY]]*InputData[[#This Row],[UNIT PRICE (R)]]</f>
        <v>2955.96</v>
      </c>
      <c r="G251" s="1" t="str">
        <f>VLOOKUP(InputData[[#This Row],[CUSTOMER NAME]],Country[],2,0)</f>
        <v>India</v>
      </c>
      <c r="H251" s="1" t="str">
        <f>VLOOKUP(InputData[[#This Row],[CUSTOMER NAME]],Country[],3,0)</f>
        <v>Central</v>
      </c>
      <c r="I251" s="1" t="str">
        <f>TEXT(InputData[[#This Row],[DATE]],"mmmm")</f>
        <v>April</v>
      </c>
      <c r="J251" s="1" t="str">
        <f>TEXT(InputData[[#This Row],[DATE]],"ddd")</f>
        <v>Sat</v>
      </c>
      <c r="K251" s="14">
        <f>WEEKNUM(InputData[[#This Row],[DATE]])</f>
        <v>15</v>
      </c>
      <c r="N251"/>
      <c r="R251" s="3" t="s">
        <v>97</v>
      </c>
      <c r="S251" s="1" t="str">
        <f t="shared" si="6"/>
        <v>Stonebridge Commercial</v>
      </c>
      <c r="V251"/>
      <c r="Z251" s="11" t="s">
        <v>22</v>
      </c>
      <c r="AA251" s="1" t="str">
        <f t="shared" si="7"/>
        <v>Hose Clamp 32mm</v>
      </c>
      <c r="AF251"/>
    </row>
    <row r="252" spans="1:32" x14ac:dyDescent="0.3">
      <c r="A252" s="10">
        <v>44296</v>
      </c>
      <c r="B252" s="3" t="s">
        <v>162</v>
      </c>
      <c r="C252" s="11" t="s">
        <v>265</v>
      </c>
      <c r="D252" s="12">
        <v>85.76</v>
      </c>
      <c r="E252" s="1">
        <v>36</v>
      </c>
      <c r="F252" s="13">
        <f>InputData[[#This Row],[QUANTITY]]*InputData[[#This Row],[UNIT PRICE (R)]]</f>
        <v>3087.36</v>
      </c>
      <c r="G252" s="1" t="str">
        <f>VLOOKUP(InputData[[#This Row],[CUSTOMER NAME]],Country[],2,0)</f>
        <v>United Kingdom</v>
      </c>
      <c r="H252" s="1" t="str">
        <f>VLOOKUP(InputData[[#This Row],[CUSTOMER NAME]],Country[],3,0)</f>
        <v>Export</v>
      </c>
      <c r="I252" s="1" t="str">
        <f>TEXT(InputData[[#This Row],[DATE]],"mmmm")</f>
        <v>April</v>
      </c>
      <c r="J252" s="1" t="str">
        <f>TEXT(InputData[[#This Row],[DATE]],"ddd")</f>
        <v>Sat</v>
      </c>
      <c r="K252" s="14">
        <f>WEEKNUM(InputData[[#This Row],[DATE]])</f>
        <v>15</v>
      </c>
      <c r="N252"/>
      <c r="R252" s="3" t="s">
        <v>59</v>
      </c>
      <c r="S252" s="1" t="str">
        <f t="shared" si="6"/>
        <v>Bellview Enterprises</v>
      </c>
      <c r="V252"/>
      <c r="Z252" s="11" t="s">
        <v>41</v>
      </c>
      <c r="AA252" s="1" t="str">
        <f t="shared" si="7"/>
        <v>PVC Elbow 20mm</v>
      </c>
      <c r="AF252"/>
    </row>
    <row r="253" spans="1:32" x14ac:dyDescent="0.3">
      <c r="A253" s="10">
        <v>44297</v>
      </c>
      <c r="B253" s="3" t="s">
        <v>170</v>
      </c>
      <c r="C253" s="11" t="s">
        <v>237</v>
      </c>
      <c r="D253" s="12">
        <v>7.8599999999999994</v>
      </c>
      <c r="E253" s="1">
        <v>8</v>
      </c>
      <c r="F253" s="13">
        <f>InputData[[#This Row],[QUANTITY]]*InputData[[#This Row],[UNIT PRICE (R)]]</f>
        <v>62.879999999999995</v>
      </c>
      <c r="G253" s="1" t="str">
        <f>VLOOKUP(InputData[[#This Row],[CUSTOMER NAME]],Country[],2,0)</f>
        <v>France</v>
      </c>
      <c r="H253" s="1" t="str">
        <f>VLOOKUP(InputData[[#This Row],[CUSTOMER NAME]],Country[],3,0)</f>
        <v>Export</v>
      </c>
      <c r="I253" s="1" t="str">
        <f>TEXT(InputData[[#This Row],[DATE]],"mmmm")</f>
        <v>April</v>
      </c>
      <c r="J253" s="1" t="str">
        <f>TEXT(InputData[[#This Row],[DATE]],"ddd")</f>
        <v>Sun</v>
      </c>
      <c r="K253" s="14">
        <f>WEEKNUM(InputData[[#This Row],[DATE]])</f>
        <v>16</v>
      </c>
      <c r="N253"/>
      <c r="R253" s="3" t="s">
        <v>67</v>
      </c>
      <c r="S253" s="1" t="str">
        <f t="shared" si="6"/>
        <v>Ironbridge Trading Co.</v>
      </c>
      <c r="V253"/>
      <c r="Z253" s="11" t="s">
        <v>37</v>
      </c>
      <c r="AA253" s="1" t="str">
        <f t="shared" si="7"/>
        <v>Turnbuckle Hook M6</v>
      </c>
      <c r="AF253"/>
    </row>
    <row r="254" spans="1:32" x14ac:dyDescent="0.3">
      <c r="A254" s="10">
        <v>44298</v>
      </c>
      <c r="B254" s="3" t="s">
        <v>146</v>
      </c>
      <c r="C254" s="11" t="s">
        <v>255</v>
      </c>
      <c r="D254" s="12">
        <v>57.120000000000005</v>
      </c>
      <c r="E254" s="1">
        <v>9</v>
      </c>
      <c r="F254" s="13">
        <f>InputData[[#This Row],[QUANTITY]]*InputData[[#This Row],[UNIT PRICE (R)]]</f>
        <v>514.08000000000004</v>
      </c>
      <c r="G254" s="1" t="str">
        <f>VLOOKUP(InputData[[#This Row],[CUSTOMER NAME]],Country[],2,0)</f>
        <v>Saudi Arabia</v>
      </c>
      <c r="H254" s="1" t="str">
        <f>VLOOKUP(InputData[[#This Row],[CUSTOMER NAME]],Country[],3,0)</f>
        <v>Export</v>
      </c>
      <c r="I254" s="1" t="str">
        <f>TEXT(InputData[[#This Row],[DATE]],"mmmm")</f>
        <v>April</v>
      </c>
      <c r="J254" s="1" t="str">
        <f>TEXT(InputData[[#This Row],[DATE]],"ddd")</f>
        <v>Mon</v>
      </c>
      <c r="K254" s="14">
        <f>WEEKNUM(InputData[[#This Row],[DATE]])</f>
        <v>16</v>
      </c>
      <c r="N254"/>
      <c r="R254" s="3" t="s">
        <v>75</v>
      </c>
      <c r="S254" s="1" t="str">
        <f t="shared" si="6"/>
        <v>Cranfield &amp; Co.</v>
      </c>
      <c r="V254"/>
      <c r="Z254" s="11" t="s">
        <v>9</v>
      </c>
      <c r="AA254" s="1" t="str">
        <f t="shared" si="7"/>
        <v>Threaded Rod M12</v>
      </c>
      <c r="AF254"/>
    </row>
    <row r="255" spans="1:32" x14ac:dyDescent="0.3">
      <c r="A255" s="10">
        <v>44298</v>
      </c>
      <c r="B255" s="3" t="s">
        <v>147</v>
      </c>
      <c r="C255" s="11" t="s">
        <v>243</v>
      </c>
      <c r="D255" s="12">
        <v>15.719999999999999</v>
      </c>
      <c r="E255" s="1">
        <v>14</v>
      </c>
      <c r="F255" s="13">
        <f>InputData[[#This Row],[QUANTITY]]*InputData[[#This Row],[UNIT PRICE (R)]]</f>
        <v>220.07999999999998</v>
      </c>
      <c r="G255" s="1" t="str">
        <f>VLOOKUP(InputData[[#This Row],[CUSTOMER NAME]],Country[],2,0)</f>
        <v>India</v>
      </c>
      <c r="H255" s="1" t="str">
        <f>VLOOKUP(InputData[[#This Row],[CUSTOMER NAME]],Country[],3,0)</f>
        <v>Northeast</v>
      </c>
      <c r="I255" s="1" t="str">
        <f>TEXT(InputData[[#This Row],[DATE]],"mmmm")</f>
        <v>April</v>
      </c>
      <c r="J255" s="1" t="str">
        <f>TEXT(InputData[[#This Row],[DATE]],"ddd")</f>
        <v>Mon</v>
      </c>
      <c r="K255" s="14">
        <f>WEEKNUM(InputData[[#This Row],[DATE]])</f>
        <v>16</v>
      </c>
      <c r="N255"/>
      <c r="R255" s="3" t="s">
        <v>51</v>
      </c>
      <c r="S255" s="1" t="str">
        <f t="shared" si="6"/>
        <v>Coastal Fittings Ltd</v>
      </c>
      <c r="V255"/>
      <c r="Z255" s="11" t="s">
        <v>27</v>
      </c>
      <c r="AA255" s="1" t="str">
        <f t="shared" si="7"/>
        <v>Padlock Hasp 100mm</v>
      </c>
      <c r="AF255"/>
    </row>
    <row r="256" spans="1:32" x14ac:dyDescent="0.3">
      <c r="A256" s="10">
        <v>44298</v>
      </c>
      <c r="B256" s="3" t="s">
        <v>150</v>
      </c>
      <c r="C256" s="11" t="s">
        <v>265</v>
      </c>
      <c r="D256" s="12">
        <v>85.76</v>
      </c>
      <c r="E256" s="1">
        <v>3</v>
      </c>
      <c r="F256" s="13">
        <f>InputData[[#This Row],[QUANTITY]]*InputData[[#This Row],[UNIT PRICE (R)]]</f>
        <v>257.28000000000003</v>
      </c>
      <c r="G256" s="1" t="str">
        <f>VLOOKUP(InputData[[#This Row],[CUSTOMER NAME]],Country[],2,0)</f>
        <v>United Kingdom</v>
      </c>
      <c r="H256" s="1" t="str">
        <f>VLOOKUP(InputData[[#This Row],[CUSTOMER NAME]],Country[],3,0)</f>
        <v>Export</v>
      </c>
      <c r="I256" s="1" t="str">
        <f>TEXT(InputData[[#This Row],[DATE]],"mmmm")</f>
        <v>April</v>
      </c>
      <c r="J256" s="1" t="str">
        <f>TEXT(InputData[[#This Row],[DATE]],"ddd")</f>
        <v>Mon</v>
      </c>
      <c r="K256" s="14">
        <f>WEEKNUM(InputData[[#This Row],[DATE]])</f>
        <v>16</v>
      </c>
      <c r="N256"/>
      <c r="R256" s="3" t="s">
        <v>52</v>
      </c>
      <c r="S256" s="1" t="str">
        <f t="shared" si="6"/>
        <v>Harrow Distribution</v>
      </c>
      <c r="V256"/>
      <c r="Z256" s="11" t="s">
        <v>15</v>
      </c>
      <c r="AA256" s="1" t="str">
        <f t="shared" si="7"/>
        <v>Rivet 4mm</v>
      </c>
      <c r="AF256"/>
    </row>
    <row r="257" spans="1:32" x14ac:dyDescent="0.3">
      <c r="A257" s="10">
        <v>44298</v>
      </c>
      <c r="B257" s="3" t="s">
        <v>156</v>
      </c>
      <c r="C257" s="11" t="s">
        <v>261</v>
      </c>
      <c r="D257" s="12">
        <v>119.7</v>
      </c>
      <c r="E257" s="1">
        <v>13</v>
      </c>
      <c r="F257" s="13">
        <f>InputData[[#This Row],[QUANTITY]]*InputData[[#This Row],[UNIT PRICE (R)]]</f>
        <v>1556.1000000000001</v>
      </c>
      <c r="G257" s="1" t="str">
        <f>VLOOKUP(InputData[[#This Row],[CUSTOMER NAME]],Country[],2,0)</f>
        <v>India</v>
      </c>
      <c r="H257" s="1" t="str">
        <f>VLOOKUP(InputData[[#This Row],[CUSTOMER NAME]],Country[],3,0)</f>
        <v>East</v>
      </c>
      <c r="I257" s="1" t="str">
        <f>TEXT(InputData[[#This Row],[DATE]],"mmmm")</f>
        <v>April</v>
      </c>
      <c r="J257" s="1" t="str">
        <f>TEXT(InputData[[#This Row],[DATE]],"ddd")</f>
        <v>Mon</v>
      </c>
      <c r="K257" s="14">
        <f>WEEKNUM(InputData[[#This Row],[DATE]])</f>
        <v>16</v>
      </c>
      <c r="N257"/>
      <c r="R257" s="3" t="s">
        <v>55</v>
      </c>
      <c r="S257" s="1" t="str">
        <f t="shared" si="6"/>
        <v>Silverline Wholesalers</v>
      </c>
      <c r="V257"/>
      <c r="Z257" s="11" t="s">
        <v>37</v>
      </c>
      <c r="AA257" s="1" t="str">
        <f t="shared" si="7"/>
        <v>Turnbuckle Hook M6</v>
      </c>
      <c r="AF257"/>
    </row>
    <row r="258" spans="1:32" x14ac:dyDescent="0.3">
      <c r="A258" s="10">
        <v>44298</v>
      </c>
      <c r="B258" s="3" t="s">
        <v>164</v>
      </c>
      <c r="C258" s="11" t="s">
        <v>257</v>
      </c>
      <c r="D258" s="12">
        <v>53.11</v>
      </c>
      <c r="E258" s="1">
        <v>4</v>
      </c>
      <c r="F258" s="13">
        <f>InputData[[#This Row],[QUANTITY]]*InputData[[#This Row],[UNIT PRICE (R)]]</f>
        <v>212.44</v>
      </c>
      <c r="G258" s="1" t="str">
        <f>VLOOKUP(InputData[[#This Row],[CUSTOMER NAME]],Country[],2,0)</f>
        <v>India</v>
      </c>
      <c r="H258" s="1" t="str">
        <f>VLOOKUP(InputData[[#This Row],[CUSTOMER NAME]],Country[],3,0)</f>
        <v>East</v>
      </c>
      <c r="I258" s="1" t="str">
        <f>TEXT(InputData[[#This Row],[DATE]],"mmmm")</f>
        <v>April</v>
      </c>
      <c r="J258" s="1" t="str">
        <f>TEXT(InputData[[#This Row],[DATE]],"ddd")</f>
        <v>Mon</v>
      </c>
      <c r="K258" s="14">
        <f>WEEKNUM(InputData[[#This Row],[DATE]])</f>
        <v>16</v>
      </c>
      <c r="N258"/>
      <c r="R258" s="3" t="s">
        <v>61</v>
      </c>
      <c r="S258" s="1" t="str">
        <f t="shared" si="6"/>
        <v>Fairstone Retail Group</v>
      </c>
      <c r="V258"/>
      <c r="Z258" s="11" t="s">
        <v>33</v>
      </c>
      <c r="AA258" s="1" t="str">
        <f t="shared" si="7"/>
        <v>Shelf Bracket 200mm</v>
      </c>
      <c r="AF258"/>
    </row>
    <row r="259" spans="1:32" x14ac:dyDescent="0.3">
      <c r="A259" s="10">
        <v>44299</v>
      </c>
      <c r="B259" s="3" t="s">
        <v>145</v>
      </c>
      <c r="C259" s="11" t="s">
        <v>232</v>
      </c>
      <c r="D259" s="12">
        <v>48.84</v>
      </c>
      <c r="E259" s="1">
        <v>8</v>
      </c>
      <c r="F259" s="13">
        <f>InputData[[#This Row],[QUANTITY]]*InputData[[#This Row],[UNIT PRICE (R)]]</f>
        <v>390.72</v>
      </c>
      <c r="G259" s="1" t="str">
        <f>VLOOKUP(InputData[[#This Row],[CUSTOMER NAME]],Country[],2,0)</f>
        <v>India</v>
      </c>
      <c r="H259" s="1" t="str">
        <f>VLOOKUP(InputData[[#This Row],[CUSTOMER NAME]],Country[],3,0)</f>
        <v>Northeast</v>
      </c>
      <c r="I259" s="1" t="str">
        <f>TEXT(InputData[[#This Row],[DATE]],"mmmm")</f>
        <v>April</v>
      </c>
      <c r="J259" s="1" t="str">
        <f>TEXT(InputData[[#This Row],[DATE]],"ddd")</f>
        <v>Tue</v>
      </c>
      <c r="K259" s="14">
        <f>WEEKNUM(InputData[[#This Row],[DATE]])</f>
        <v>16</v>
      </c>
      <c r="N259"/>
      <c r="R259" s="3" t="s">
        <v>69</v>
      </c>
      <c r="S259" s="1" t="str">
        <f t="shared" si="6"/>
        <v>Southcote Industries</v>
      </c>
      <c r="V259"/>
      <c r="Z259" s="11" t="s">
        <v>29</v>
      </c>
      <c r="AA259" s="1" t="str">
        <f t="shared" si="7"/>
        <v>Butt Hinge 100mm</v>
      </c>
      <c r="AF259"/>
    </row>
    <row r="260" spans="1:32" x14ac:dyDescent="0.3">
      <c r="A260" s="10">
        <v>44299</v>
      </c>
      <c r="B260" s="3" t="s">
        <v>148</v>
      </c>
      <c r="C260" s="11" t="s">
        <v>244</v>
      </c>
      <c r="D260" s="12">
        <v>16.64</v>
      </c>
      <c r="E260" s="1">
        <v>14</v>
      </c>
      <c r="F260" s="13">
        <f>InputData[[#This Row],[QUANTITY]]*InputData[[#This Row],[UNIT PRICE (R)]]</f>
        <v>232.96</v>
      </c>
      <c r="G260" s="1" t="str">
        <f>VLOOKUP(InputData[[#This Row],[CUSTOMER NAME]],Country[],2,0)</f>
        <v>Pakistan</v>
      </c>
      <c r="H260" s="1" t="str">
        <f>VLOOKUP(InputData[[#This Row],[CUSTOMER NAME]],Country[],3,0)</f>
        <v>Export</v>
      </c>
      <c r="I260" s="1" t="str">
        <f>TEXT(InputData[[#This Row],[DATE]],"mmmm")</f>
        <v>April</v>
      </c>
      <c r="J260" s="1" t="str">
        <f>TEXT(InputData[[#This Row],[DATE]],"ddd")</f>
        <v>Tue</v>
      </c>
      <c r="K260" s="14">
        <f>WEEKNUM(InputData[[#This Row],[DATE]])</f>
        <v>16</v>
      </c>
      <c r="N260"/>
      <c r="R260" s="3" t="s">
        <v>50</v>
      </c>
      <c r="S260" s="1" t="str">
        <f t="shared" si="6"/>
        <v>Meridian Hardware Co.</v>
      </c>
      <c r="V260"/>
      <c r="Z260" s="11" t="s">
        <v>4</v>
      </c>
      <c r="AA260" s="1" t="str">
        <f t="shared" si="7"/>
        <v>Carriage Bolt M8</v>
      </c>
      <c r="AF260"/>
    </row>
    <row r="261" spans="1:32" x14ac:dyDescent="0.3">
      <c r="A261" s="10">
        <v>44299</v>
      </c>
      <c r="B261" s="3" t="s">
        <v>153</v>
      </c>
      <c r="C261" s="11" t="s">
        <v>264</v>
      </c>
      <c r="D261" s="12">
        <v>96.3</v>
      </c>
      <c r="E261" s="1">
        <v>35</v>
      </c>
      <c r="F261" s="13">
        <f>InputData[[#This Row],[QUANTITY]]*InputData[[#This Row],[UNIT PRICE (R)]]</f>
        <v>3370.5</v>
      </c>
      <c r="G261" s="1" t="str">
        <f>VLOOKUP(InputData[[#This Row],[CUSTOMER NAME]],Country[],2,0)</f>
        <v>Mexico</v>
      </c>
      <c r="H261" s="1" t="str">
        <f>VLOOKUP(InputData[[#This Row],[CUSTOMER NAME]],Country[],3,0)</f>
        <v>Export</v>
      </c>
      <c r="I261" s="1" t="str">
        <f>TEXT(InputData[[#This Row],[DATE]],"mmmm")</f>
        <v>April</v>
      </c>
      <c r="J261" s="1" t="str">
        <f>TEXT(InputData[[#This Row],[DATE]],"ddd")</f>
        <v>Tue</v>
      </c>
      <c r="K261" s="14">
        <f>WEEKNUM(InputData[[#This Row],[DATE]])</f>
        <v>16</v>
      </c>
      <c r="N261"/>
      <c r="R261" s="3" t="s">
        <v>53</v>
      </c>
      <c r="S261" s="1" t="str">
        <f t="shared" si="6"/>
        <v>Vantage Point Retailers</v>
      </c>
      <c r="V261"/>
      <c r="Z261" s="11" t="s">
        <v>16</v>
      </c>
      <c r="AA261" s="1" t="str">
        <f t="shared" si="7"/>
        <v>Blind Rivet 6mm</v>
      </c>
      <c r="AF261"/>
    </row>
    <row r="262" spans="1:32" x14ac:dyDescent="0.3">
      <c r="A262" s="10">
        <v>44300</v>
      </c>
      <c r="B262" s="3" t="s">
        <v>163</v>
      </c>
      <c r="C262" s="11" t="s">
        <v>265</v>
      </c>
      <c r="D262" s="12">
        <v>85.76</v>
      </c>
      <c r="E262" s="1">
        <v>7</v>
      </c>
      <c r="F262" s="13">
        <f>InputData[[#This Row],[QUANTITY]]*InputData[[#This Row],[UNIT PRICE (R)]]</f>
        <v>600.32000000000005</v>
      </c>
      <c r="G262" s="1" t="str">
        <f>VLOOKUP(InputData[[#This Row],[CUSTOMER NAME]],Country[],2,0)</f>
        <v>South Africa</v>
      </c>
      <c r="H262" s="1" t="str">
        <f>VLOOKUP(InputData[[#This Row],[CUSTOMER NAME]],Country[],3,0)</f>
        <v>Export</v>
      </c>
      <c r="I262" s="1" t="str">
        <f>TEXT(InputData[[#This Row],[DATE]],"mmmm")</f>
        <v>April</v>
      </c>
      <c r="J262" s="1" t="str">
        <f>TEXT(InputData[[#This Row],[DATE]],"ddd")</f>
        <v>Wed</v>
      </c>
      <c r="K262" s="14">
        <f>WEEKNUM(InputData[[#This Row],[DATE]])</f>
        <v>16</v>
      </c>
      <c r="N262"/>
      <c r="R262" s="3" t="s">
        <v>58</v>
      </c>
      <c r="S262" s="1" t="str">
        <f t="shared" si="6"/>
        <v>Redwood Mercantile</v>
      </c>
      <c r="V262"/>
      <c r="Z262" s="11" t="s">
        <v>36</v>
      </c>
      <c r="AA262" s="1" t="str">
        <f t="shared" si="7"/>
        <v>Mending Plate 100mm</v>
      </c>
      <c r="AF262"/>
    </row>
    <row r="263" spans="1:32" x14ac:dyDescent="0.3">
      <c r="A263" s="10">
        <v>44301</v>
      </c>
      <c r="B263" s="3" t="s">
        <v>169</v>
      </c>
      <c r="C263" s="11" t="s">
        <v>245</v>
      </c>
      <c r="D263" s="12">
        <v>156.78</v>
      </c>
      <c r="E263" s="1">
        <v>3</v>
      </c>
      <c r="F263" s="13">
        <f>InputData[[#This Row],[QUANTITY]]*InputData[[#This Row],[UNIT PRICE (R)]]</f>
        <v>470.34000000000003</v>
      </c>
      <c r="G263" s="1" t="str">
        <f>VLOOKUP(InputData[[#This Row],[CUSTOMER NAME]],Country[],2,0)</f>
        <v>India</v>
      </c>
      <c r="H263" s="1" t="str">
        <f>VLOOKUP(InputData[[#This Row],[CUSTOMER NAME]],Country[],3,0)</f>
        <v>South</v>
      </c>
      <c r="I263" s="1" t="str">
        <f>TEXT(InputData[[#This Row],[DATE]],"mmmm")</f>
        <v>April</v>
      </c>
      <c r="J263" s="1" t="str">
        <f>TEXT(InputData[[#This Row],[DATE]],"ddd")</f>
        <v>Thu</v>
      </c>
      <c r="K263" s="14">
        <f>WEEKNUM(InputData[[#This Row],[DATE]])</f>
        <v>16</v>
      </c>
      <c r="N263"/>
      <c r="R263" s="3" t="s">
        <v>68</v>
      </c>
      <c r="S263" s="1" t="str">
        <f t="shared" ref="S263:S326" si="8">_xlfn.XLOOKUP(R263,$N$5:$N$64,$O$5:$O$64,"Not Found")</f>
        <v>Delacroix Wholesale</v>
      </c>
      <c r="V263"/>
      <c r="Z263" s="11" t="s">
        <v>37</v>
      </c>
      <c r="AA263" s="1" t="str">
        <f t="shared" ref="AA263:AA326" si="9">_xlfn.XLOOKUP(Z263,$V$5:$V$48,$W$5:$W$48,"Not Found",0)</f>
        <v>Turnbuckle Hook M6</v>
      </c>
      <c r="AF263"/>
    </row>
    <row r="264" spans="1:32" x14ac:dyDescent="0.3">
      <c r="A264" s="10">
        <v>44302</v>
      </c>
      <c r="B264" s="3" t="s">
        <v>177</v>
      </c>
      <c r="C264" s="11" t="s">
        <v>244</v>
      </c>
      <c r="D264" s="12">
        <v>16.64</v>
      </c>
      <c r="E264" s="1">
        <v>38</v>
      </c>
      <c r="F264" s="13">
        <f>InputData[[#This Row],[QUANTITY]]*InputData[[#This Row],[UNIT PRICE (R)]]</f>
        <v>632.32000000000005</v>
      </c>
      <c r="G264" s="1" t="str">
        <f>VLOOKUP(InputData[[#This Row],[CUSTOMER NAME]],Country[],2,0)</f>
        <v>India</v>
      </c>
      <c r="H264" s="1" t="str">
        <f>VLOOKUP(InputData[[#This Row],[CUSTOMER NAME]],Country[],3,0)</f>
        <v>North</v>
      </c>
      <c r="I264" s="1" t="str">
        <f>TEXT(InputData[[#This Row],[DATE]],"mmmm")</f>
        <v>April</v>
      </c>
      <c r="J264" s="1" t="str">
        <f>TEXT(InputData[[#This Row],[DATE]],"ddd")</f>
        <v>Fri</v>
      </c>
      <c r="K264" s="14">
        <f>WEEKNUM(InputData[[#This Row],[DATE]])</f>
        <v>16</v>
      </c>
      <c r="N264"/>
      <c r="R264" s="3" t="s">
        <v>74</v>
      </c>
      <c r="S264" s="1" t="str">
        <f t="shared" si="8"/>
        <v>Millbrook Distribution</v>
      </c>
      <c r="V264"/>
      <c r="Z264" s="11" t="s">
        <v>17</v>
      </c>
      <c r="AA264" s="1" t="str">
        <f t="shared" si="9"/>
        <v>Cotter Pin 3mm</v>
      </c>
      <c r="AF264"/>
    </row>
    <row r="265" spans="1:32" x14ac:dyDescent="0.3">
      <c r="A265" s="10">
        <v>44302</v>
      </c>
      <c r="B265" s="3" t="s">
        <v>172</v>
      </c>
      <c r="C265" s="11" t="s">
        <v>246</v>
      </c>
      <c r="D265" s="12">
        <v>49.21</v>
      </c>
      <c r="E265" s="1">
        <v>15</v>
      </c>
      <c r="F265" s="13">
        <f>InputData[[#This Row],[QUANTITY]]*InputData[[#This Row],[UNIT PRICE (R)]]</f>
        <v>738.15</v>
      </c>
      <c r="G265" s="1" t="str">
        <f>VLOOKUP(InputData[[#This Row],[CUSTOMER NAME]],Country[],2,0)</f>
        <v>Mexico</v>
      </c>
      <c r="H265" s="1" t="str">
        <f>VLOOKUP(InputData[[#This Row],[CUSTOMER NAME]],Country[],3,0)</f>
        <v>Export</v>
      </c>
      <c r="I265" s="1" t="str">
        <f>TEXT(InputData[[#This Row],[DATE]],"mmmm")</f>
        <v>April</v>
      </c>
      <c r="J265" s="1" t="str">
        <f>TEXT(InputData[[#This Row],[DATE]],"ddd")</f>
        <v>Fri</v>
      </c>
      <c r="K265" s="14">
        <f>WEEKNUM(InputData[[#This Row],[DATE]])</f>
        <v>16</v>
      </c>
      <c r="N265"/>
      <c r="R265" s="3" t="s">
        <v>99</v>
      </c>
      <c r="S265" s="1" t="str">
        <f t="shared" si="8"/>
        <v>Northfield Traders</v>
      </c>
      <c r="V265"/>
      <c r="Z265" s="11" t="s">
        <v>16</v>
      </c>
      <c r="AA265" s="1" t="str">
        <f t="shared" si="9"/>
        <v>Blind Rivet 6mm</v>
      </c>
      <c r="AF265"/>
    </row>
    <row r="266" spans="1:32" x14ac:dyDescent="0.3">
      <c r="A266" s="10">
        <v>44303</v>
      </c>
      <c r="B266" s="3" t="s">
        <v>158</v>
      </c>
      <c r="C266" s="11" t="s">
        <v>237</v>
      </c>
      <c r="D266" s="12">
        <v>7.8599999999999994</v>
      </c>
      <c r="E266" s="1">
        <v>19</v>
      </c>
      <c r="F266" s="13">
        <f>InputData[[#This Row],[QUANTITY]]*InputData[[#This Row],[UNIT PRICE (R)]]</f>
        <v>149.33999999999997</v>
      </c>
      <c r="G266" s="1" t="str">
        <f>VLOOKUP(InputData[[#This Row],[CUSTOMER NAME]],Country[],2,0)</f>
        <v>Russia</v>
      </c>
      <c r="H266" s="1" t="str">
        <f>VLOOKUP(InputData[[#This Row],[CUSTOMER NAME]],Country[],3,0)</f>
        <v>Export</v>
      </c>
      <c r="I266" s="1" t="str">
        <f>TEXT(InputData[[#This Row],[DATE]],"mmmm")</f>
        <v>April</v>
      </c>
      <c r="J266" s="1" t="str">
        <f>TEXT(InputData[[#This Row],[DATE]],"ddd")</f>
        <v>Sat</v>
      </c>
      <c r="K266" s="14">
        <f>WEEKNUM(InputData[[#This Row],[DATE]])</f>
        <v>16</v>
      </c>
      <c r="N266"/>
      <c r="R266" s="3" t="s">
        <v>77</v>
      </c>
      <c r="S266" s="1" t="str">
        <f t="shared" si="8"/>
        <v>Fenwick Traders</v>
      </c>
      <c r="V266"/>
      <c r="Z266" s="11" t="s">
        <v>18</v>
      </c>
      <c r="AA266" s="1" t="str">
        <f t="shared" si="9"/>
        <v>Split Pin 5mm</v>
      </c>
      <c r="AF266"/>
    </row>
    <row r="267" spans="1:32" x14ac:dyDescent="0.3">
      <c r="A267" s="10">
        <v>44304</v>
      </c>
      <c r="B267" s="3" t="s">
        <v>175</v>
      </c>
      <c r="C267" s="11" t="s">
        <v>269</v>
      </c>
      <c r="D267" s="12">
        <v>173.88</v>
      </c>
      <c r="E267" s="1">
        <v>9</v>
      </c>
      <c r="F267" s="13">
        <f>InputData[[#This Row],[QUANTITY]]*InputData[[#This Row],[UNIT PRICE (R)]]</f>
        <v>1564.92</v>
      </c>
      <c r="G267" s="1" t="str">
        <f>VLOOKUP(InputData[[#This Row],[CUSTOMER NAME]],Country[],2,0)</f>
        <v>India</v>
      </c>
      <c r="H267" s="1" t="str">
        <f>VLOOKUP(InputData[[#This Row],[CUSTOMER NAME]],Country[],3,0)</f>
        <v>Western</v>
      </c>
      <c r="I267" s="1" t="str">
        <f>TEXT(InputData[[#This Row],[DATE]],"mmmm")</f>
        <v>April</v>
      </c>
      <c r="J267" s="1" t="str">
        <f>TEXT(InputData[[#This Row],[DATE]],"ddd")</f>
        <v>Sun</v>
      </c>
      <c r="K267" s="14">
        <f>WEEKNUM(InputData[[#This Row],[DATE]])</f>
        <v>17</v>
      </c>
      <c r="N267"/>
      <c r="R267" s="3" t="s">
        <v>63</v>
      </c>
      <c r="S267" s="1" t="str">
        <f t="shared" si="8"/>
        <v>Ovenden &amp; Sons</v>
      </c>
      <c r="V267"/>
      <c r="Z267" s="11" t="s">
        <v>9</v>
      </c>
      <c r="AA267" s="1" t="str">
        <f t="shared" si="9"/>
        <v>Threaded Rod M12</v>
      </c>
      <c r="AF267"/>
    </row>
    <row r="268" spans="1:32" x14ac:dyDescent="0.3">
      <c r="A268" s="10">
        <v>44304</v>
      </c>
      <c r="B268" s="3" t="s">
        <v>157</v>
      </c>
      <c r="C268" s="11" t="s">
        <v>247</v>
      </c>
      <c r="D268" s="12">
        <v>210</v>
      </c>
      <c r="E268" s="1">
        <v>13</v>
      </c>
      <c r="F268" s="13">
        <f>InputData[[#This Row],[QUANTITY]]*InputData[[#This Row],[UNIT PRICE (R)]]</f>
        <v>2730</v>
      </c>
      <c r="G268" s="1" t="str">
        <f>VLOOKUP(InputData[[#This Row],[CUSTOMER NAME]],Country[],2,0)</f>
        <v>Brazil</v>
      </c>
      <c r="H268" s="1" t="str">
        <f>VLOOKUP(InputData[[#This Row],[CUSTOMER NAME]],Country[],3,0)</f>
        <v>Export</v>
      </c>
      <c r="I268" s="1" t="str">
        <f>TEXT(InputData[[#This Row],[DATE]],"mmmm")</f>
        <v>April</v>
      </c>
      <c r="J268" s="1" t="str">
        <f>TEXT(InputData[[#This Row],[DATE]],"ddd")</f>
        <v>Sun</v>
      </c>
      <c r="K268" s="14">
        <f>WEEKNUM(InputData[[#This Row],[DATE]])</f>
        <v>17</v>
      </c>
      <c r="N268"/>
      <c r="R268" s="3" t="s">
        <v>97</v>
      </c>
      <c r="S268" s="1" t="str">
        <f t="shared" si="8"/>
        <v>Stonebridge Commercial</v>
      </c>
      <c r="V268"/>
      <c r="Z268" s="11" t="s">
        <v>41</v>
      </c>
      <c r="AA268" s="1" t="str">
        <f t="shared" si="9"/>
        <v>PVC Elbow 20mm</v>
      </c>
      <c r="AF268"/>
    </row>
    <row r="269" spans="1:32" x14ac:dyDescent="0.3">
      <c r="A269" s="10">
        <v>44304</v>
      </c>
      <c r="B269" s="3" t="s">
        <v>170</v>
      </c>
      <c r="C269" s="11" t="s">
        <v>239</v>
      </c>
      <c r="D269" s="12">
        <v>48.4</v>
      </c>
      <c r="E269" s="1">
        <v>2</v>
      </c>
      <c r="F269" s="13">
        <f>InputData[[#This Row],[QUANTITY]]*InputData[[#This Row],[UNIT PRICE (R)]]</f>
        <v>96.8</v>
      </c>
      <c r="G269" s="1" t="str">
        <f>VLOOKUP(InputData[[#This Row],[CUSTOMER NAME]],Country[],2,0)</f>
        <v>France</v>
      </c>
      <c r="H269" s="1" t="str">
        <f>VLOOKUP(InputData[[#This Row],[CUSTOMER NAME]],Country[],3,0)</f>
        <v>Export</v>
      </c>
      <c r="I269" s="1" t="str">
        <f>TEXT(InputData[[#This Row],[DATE]],"mmmm")</f>
        <v>April</v>
      </c>
      <c r="J269" s="1" t="str">
        <f>TEXT(InputData[[#This Row],[DATE]],"ddd")</f>
        <v>Sun</v>
      </c>
      <c r="K269" s="14">
        <f>WEEKNUM(InputData[[#This Row],[DATE]])</f>
        <v>17</v>
      </c>
      <c r="N269"/>
      <c r="R269" s="3" t="s">
        <v>62</v>
      </c>
      <c r="S269" s="1" t="str">
        <f t="shared" si="8"/>
        <v>Marchbank Traders</v>
      </c>
      <c r="V269"/>
      <c r="Z269" s="11" t="s">
        <v>19</v>
      </c>
      <c r="AA269" s="1" t="str">
        <f t="shared" si="9"/>
        <v>Anchor Bolt M10</v>
      </c>
      <c r="AF269"/>
    </row>
    <row r="270" spans="1:32" x14ac:dyDescent="0.3">
      <c r="A270" s="10">
        <v>44304</v>
      </c>
      <c r="B270" s="3" t="s">
        <v>171</v>
      </c>
      <c r="C270" s="11" t="s">
        <v>266</v>
      </c>
      <c r="D270" s="12">
        <v>79.92</v>
      </c>
      <c r="E270" s="1">
        <v>9</v>
      </c>
      <c r="F270" s="13">
        <f>InputData[[#This Row],[QUANTITY]]*InputData[[#This Row],[UNIT PRICE (R)]]</f>
        <v>719.28</v>
      </c>
      <c r="G270" s="1" t="str">
        <f>VLOOKUP(InputData[[#This Row],[CUSTOMER NAME]],Country[],2,0)</f>
        <v>India</v>
      </c>
      <c r="H270" s="1" t="str">
        <f>VLOOKUP(InputData[[#This Row],[CUSTOMER NAME]],Country[],3,0)</f>
        <v>South</v>
      </c>
      <c r="I270" s="1" t="str">
        <f>TEXT(InputData[[#This Row],[DATE]],"mmmm")</f>
        <v>April</v>
      </c>
      <c r="J270" s="1" t="str">
        <f>TEXT(InputData[[#This Row],[DATE]],"ddd")</f>
        <v>Sun</v>
      </c>
      <c r="K270" s="14">
        <f>WEEKNUM(InputData[[#This Row],[DATE]])</f>
        <v>17</v>
      </c>
      <c r="N270"/>
      <c r="R270" s="3" t="s">
        <v>75</v>
      </c>
      <c r="S270" s="1" t="str">
        <f t="shared" si="8"/>
        <v>Cranfield &amp; Co.</v>
      </c>
      <c r="V270"/>
      <c r="Z270" s="11" t="s">
        <v>11</v>
      </c>
      <c r="AA270" s="1" t="str">
        <f t="shared" si="9"/>
        <v>Wood Screw 40mm</v>
      </c>
      <c r="AF270"/>
    </row>
    <row r="271" spans="1:32" x14ac:dyDescent="0.3">
      <c r="A271" s="10">
        <v>44305</v>
      </c>
      <c r="B271" s="3" t="s">
        <v>170</v>
      </c>
      <c r="C271" s="11" t="s">
        <v>239</v>
      </c>
      <c r="D271" s="12">
        <v>48.4</v>
      </c>
      <c r="E271" s="1">
        <v>17</v>
      </c>
      <c r="F271" s="13">
        <f>InputData[[#This Row],[QUANTITY]]*InputData[[#This Row],[UNIT PRICE (R)]]</f>
        <v>822.8</v>
      </c>
      <c r="G271" s="1" t="str">
        <f>VLOOKUP(InputData[[#This Row],[CUSTOMER NAME]],Country[],2,0)</f>
        <v>France</v>
      </c>
      <c r="H271" s="1" t="str">
        <f>VLOOKUP(InputData[[#This Row],[CUSTOMER NAME]],Country[],3,0)</f>
        <v>Export</v>
      </c>
      <c r="I271" s="1" t="str">
        <f>TEXT(InputData[[#This Row],[DATE]],"mmmm")</f>
        <v>April</v>
      </c>
      <c r="J271" s="1" t="str">
        <f>TEXT(InputData[[#This Row],[DATE]],"ddd")</f>
        <v>Mon</v>
      </c>
      <c r="K271" s="14">
        <f>WEEKNUM(InputData[[#This Row],[DATE]])</f>
        <v>17</v>
      </c>
      <c r="N271"/>
      <c r="R271" s="3" t="s">
        <v>76</v>
      </c>
      <c r="S271" s="1" t="str">
        <f t="shared" si="8"/>
        <v>Overton Retail Solutions</v>
      </c>
      <c r="V271"/>
      <c r="Z271" s="11" t="s">
        <v>38</v>
      </c>
      <c r="AA271" s="1" t="str">
        <f t="shared" si="9"/>
        <v>Cable Tie 300mm</v>
      </c>
      <c r="AF271"/>
    </row>
    <row r="272" spans="1:32" x14ac:dyDescent="0.3">
      <c r="A272" s="10">
        <v>44306</v>
      </c>
      <c r="B272" s="3" t="s">
        <v>175</v>
      </c>
      <c r="C272" s="11" t="s">
        <v>246</v>
      </c>
      <c r="D272" s="12">
        <v>49.21</v>
      </c>
      <c r="E272" s="1">
        <v>2</v>
      </c>
      <c r="F272" s="13">
        <f>InputData[[#This Row],[QUANTITY]]*InputData[[#This Row],[UNIT PRICE (R)]]</f>
        <v>98.42</v>
      </c>
      <c r="G272" s="1" t="str">
        <f>VLOOKUP(InputData[[#This Row],[CUSTOMER NAME]],Country[],2,0)</f>
        <v>India</v>
      </c>
      <c r="H272" s="1" t="str">
        <f>VLOOKUP(InputData[[#This Row],[CUSTOMER NAME]],Country[],3,0)</f>
        <v>Western</v>
      </c>
      <c r="I272" s="1" t="str">
        <f>TEXT(InputData[[#This Row],[DATE]],"mmmm")</f>
        <v>April</v>
      </c>
      <c r="J272" s="1" t="str">
        <f>TEXT(InputData[[#This Row],[DATE]],"ddd")</f>
        <v>Tue</v>
      </c>
      <c r="K272" s="14">
        <f>WEEKNUM(InputData[[#This Row],[DATE]])</f>
        <v>17</v>
      </c>
      <c r="N272"/>
      <c r="R272" s="3" t="s">
        <v>75</v>
      </c>
      <c r="S272" s="1" t="str">
        <f t="shared" si="8"/>
        <v>Cranfield &amp; Co.</v>
      </c>
      <c r="V272"/>
      <c r="Z272" s="11" t="s">
        <v>11</v>
      </c>
      <c r="AA272" s="1" t="str">
        <f t="shared" si="9"/>
        <v>Wood Screw 40mm</v>
      </c>
      <c r="AF272"/>
    </row>
    <row r="273" spans="1:32" x14ac:dyDescent="0.3">
      <c r="A273" s="10">
        <v>44306</v>
      </c>
      <c r="B273" s="3" t="s">
        <v>160</v>
      </c>
      <c r="C273" s="11" t="s">
        <v>240</v>
      </c>
      <c r="D273" s="12">
        <v>94.17</v>
      </c>
      <c r="E273" s="1">
        <v>4</v>
      </c>
      <c r="F273" s="13">
        <f>InputData[[#This Row],[QUANTITY]]*InputData[[#This Row],[UNIT PRICE (R)]]</f>
        <v>376.68</v>
      </c>
      <c r="G273" s="1" t="str">
        <f>VLOOKUP(InputData[[#This Row],[CUSTOMER NAME]],Country[],2,0)</f>
        <v>India</v>
      </c>
      <c r="H273" s="1" t="str">
        <f>VLOOKUP(InputData[[#This Row],[CUSTOMER NAME]],Country[],3,0)</f>
        <v>Western</v>
      </c>
      <c r="I273" s="1" t="str">
        <f>TEXT(InputData[[#This Row],[DATE]],"mmmm")</f>
        <v>April</v>
      </c>
      <c r="J273" s="1" t="str">
        <f>TEXT(InputData[[#This Row],[DATE]],"ddd")</f>
        <v>Tue</v>
      </c>
      <c r="K273" s="14">
        <f>WEEKNUM(InputData[[#This Row],[DATE]])</f>
        <v>17</v>
      </c>
      <c r="N273"/>
      <c r="R273" s="3" t="s">
        <v>97</v>
      </c>
      <c r="S273" s="1" t="str">
        <f t="shared" si="8"/>
        <v>Stonebridge Commercial</v>
      </c>
      <c r="V273"/>
      <c r="Z273" s="11" t="s">
        <v>18</v>
      </c>
      <c r="AA273" s="1" t="str">
        <f t="shared" si="9"/>
        <v>Split Pin 5mm</v>
      </c>
      <c r="AF273"/>
    </row>
    <row r="274" spans="1:32" x14ac:dyDescent="0.3">
      <c r="A274" s="10">
        <v>44307</v>
      </c>
      <c r="B274" s="3" t="s">
        <v>165</v>
      </c>
      <c r="C274" s="11" t="s">
        <v>258</v>
      </c>
      <c r="D274" s="12">
        <v>201.28</v>
      </c>
      <c r="E274" s="1">
        <v>2</v>
      </c>
      <c r="F274" s="13">
        <f>InputData[[#This Row],[QUANTITY]]*InputData[[#This Row],[UNIT PRICE (R)]]</f>
        <v>402.56</v>
      </c>
      <c r="G274" s="1" t="str">
        <f>VLOOKUP(InputData[[#This Row],[CUSTOMER NAME]],Country[],2,0)</f>
        <v>India</v>
      </c>
      <c r="H274" s="1" t="str">
        <f>VLOOKUP(InputData[[#This Row],[CUSTOMER NAME]],Country[],3,0)</f>
        <v>Western</v>
      </c>
      <c r="I274" s="1" t="str">
        <f>TEXT(InputData[[#This Row],[DATE]],"mmmm")</f>
        <v>April</v>
      </c>
      <c r="J274" s="1" t="str">
        <f>TEXT(InputData[[#This Row],[DATE]],"ddd")</f>
        <v>Wed</v>
      </c>
      <c r="K274" s="14">
        <f>WEEKNUM(InputData[[#This Row],[DATE]])</f>
        <v>17</v>
      </c>
      <c r="N274"/>
      <c r="R274" s="3" t="s">
        <v>65</v>
      </c>
      <c r="S274" s="1" t="str">
        <f t="shared" si="8"/>
        <v>Talbot Street Merchants</v>
      </c>
      <c r="V274"/>
      <c r="Z274" s="11" t="s">
        <v>12</v>
      </c>
      <c r="AA274" s="1" t="str">
        <f t="shared" si="9"/>
        <v>Drywall Screw 30mm</v>
      </c>
      <c r="AF274"/>
    </row>
    <row r="275" spans="1:32" x14ac:dyDescent="0.3">
      <c r="A275" s="10">
        <v>44307</v>
      </c>
      <c r="B275" s="3" t="s">
        <v>166</v>
      </c>
      <c r="C275" s="11" t="s">
        <v>254</v>
      </c>
      <c r="D275" s="12">
        <v>24.66</v>
      </c>
      <c r="E275" s="1">
        <v>14</v>
      </c>
      <c r="F275" s="13">
        <f>InputData[[#This Row],[QUANTITY]]*InputData[[#This Row],[UNIT PRICE (R)]]</f>
        <v>345.24</v>
      </c>
      <c r="G275" s="1" t="str">
        <f>VLOOKUP(InputData[[#This Row],[CUSTOMER NAME]],Country[],2,0)</f>
        <v>India</v>
      </c>
      <c r="H275" s="1" t="str">
        <f>VLOOKUP(InputData[[#This Row],[CUSTOMER NAME]],Country[],3,0)</f>
        <v>North</v>
      </c>
      <c r="I275" s="1" t="str">
        <f>TEXT(InputData[[#This Row],[DATE]],"mmmm")</f>
        <v>April</v>
      </c>
      <c r="J275" s="1" t="str">
        <f>TEXT(InputData[[#This Row],[DATE]],"ddd")</f>
        <v>Wed</v>
      </c>
      <c r="K275" s="14">
        <f>WEEKNUM(InputData[[#This Row],[DATE]])</f>
        <v>17</v>
      </c>
      <c r="N275"/>
      <c r="R275" s="3" t="s">
        <v>70</v>
      </c>
      <c r="S275" s="1" t="str">
        <f t="shared" si="8"/>
        <v>Larkspur Retailers</v>
      </c>
      <c r="V275"/>
      <c r="Z275" s="11" t="s">
        <v>30</v>
      </c>
      <c r="AA275" s="1" t="str">
        <f t="shared" si="9"/>
        <v>Door Latch Set</v>
      </c>
      <c r="AF275"/>
    </row>
    <row r="276" spans="1:32" x14ac:dyDescent="0.3">
      <c r="A276" s="10">
        <v>44308</v>
      </c>
      <c r="B276" s="3" t="s">
        <v>147</v>
      </c>
      <c r="C276" s="11" t="s">
        <v>271</v>
      </c>
      <c r="D276" s="12">
        <v>83.08</v>
      </c>
      <c r="E276" s="1">
        <v>22</v>
      </c>
      <c r="F276" s="13">
        <f>InputData[[#This Row],[QUANTITY]]*InputData[[#This Row],[UNIT PRICE (R)]]</f>
        <v>1827.76</v>
      </c>
      <c r="G276" s="1" t="str">
        <f>VLOOKUP(InputData[[#This Row],[CUSTOMER NAME]],Country[],2,0)</f>
        <v>India</v>
      </c>
      <c r="H276" s="1" t="str">
        <f>VLOOKUP(InputData[[#This Row],[CUSTOMER NAME]],Country[],3,0)</f>
        <v>Northeast</v>
      </c>
      <c r="I276" s="1" t="str">
        <f>TEXT(InputData[[#This Row],[DATE]],"mmmm")</f>
        <v>April</v>
      </c>
      <c r="J276" s="1" t="str">
        <f>TEXT(InputData[[#This Row],[DATE]],"ddd")</f>
        <v>Thu</v>
      </c>
      <c r="K276" s="14">
        <f>WEEKNUM(InputData[[#This Row],[DATE]])</f>
        <v>17</v>
      </c>
      <c r="N276"/>
      <c r="R276" s="3" t="s">
        <v>71</v>
      </c>
      <c r="S276" s="1" t="str">
        <f t="shared" si="8"/>
        <v>Blackfriars Supply</v>
      </c>
      <c r="V276"/>
      <c r="Z276" s="11" t="s">
        <v>26</v>
      </c>
      <c r="AA276" s="1" t="str">
        <f t="shared" si="9"/>
        <v>Chain Link 6mm</v>
      </c>
      <c r="AF276"/>
    </row>
    <row r="277" spans="1:32" x14ac:dyDescent="0.3">
      <c r="A277" s="10">
        <v>44308</v>
      </c>
      <c r="B277" s="3" t="s">
        <v>163</v>
      </c>
      <c r="C277" s="11" t="s">
        <v>264</v>
      </c>
      <c r="D277" s="12">
        <v>96.3</v>
      </c>
      <c r="E277" s="1">
        <v>36</v>
      </c>
      <c r="F277" s="13">
        <f>InputData[[#This Row],[QUANTITY]]*InputData[[#This Row],[UNIT PRICE (R)]]</f>
        <v>3466.7999999999997</v>
      </c>
      <c r="G277" s="1" t="str">
        <f>VLOOKUP(InputData[[#This Row],[CUSTOMER NAME]],Country[],2,0)</f>
        <v>South Africa</v>
      </c>
      <c r="H277" s="1" t="str">
        <f>VLOOKUP(InputData[[#This Row],[CUSTOMER NAME]],Country[],3,0)</f>
        <v>Export</v>
      </c>
      <c r="I277" s="1" t="str">
        <f>TEXT(InputData[[#This Row],[DATE]],"mmmm")</f>
        <v>April</v>
      </c>
      <c r="J277" s="1" t="str">
        <f>TEXT(InputData[[#This Row],[DATE]],"ddd")</f>
        <v>Thu</v>
      </c>
      <c r="K277" s="14">
        <f>WEEKNUM(InputData[[#This Row],[DATE]])</f>
        <v>17</v>
      </c>
      <c r="N277"/>
      <c r="R277" s="3" t="s">
        <v>52</v>
      </c>
      <c r="S277" s="1" t="str">
        <f t="shared" si="8"/>
        <v>Harrow Distribution</v>
      </c>
      <c r="V277"/>
      <c r="Z277" s="11" t="s">
        <v>43</v>
      </c>
      <c r="AA277" s="1" t="str">
        <f t="shared" si="9"/>
        <v>Copper Pipe Fitting 15mm</v>
      </c>
      <c r="AF277"/>
    </row>
    <row r="278" spans="1:32" x14ac:dyDescent="0.3">
      <c r="A278" s="10">
        <v>44309</v>
      </c>
      <c r="B278" s="3" t="s">
        <v>145</v>
      </c>
      <c r="C278" s="11" t="s">
        <v>256</v>
      </c>
      <c r="D278" s="12">
        <v>41.81</v>
      </c>
      <c r="E278" s="1">
        <v>10</v>
      </c>
      <c r="F278" s="13">
        <f>InputData[[#This Row],[QUANTITY]]*InputData[[#This Row],[UNIT PRICE (R)]]</f>
        <v>418.1</v>
      </c>
      <c r="G278" s="1" t="str">
        <f>VLOOKUP(InputData[[#This Row],[CUSTOMER NAME]],Country[],2,0)</f>
        <v>India</v>
      </c>
      <c r="H278" s="1" t="str">
        <f>VLOOKUP(InputData[[#This Row],[CUSTOMER NAME]],Country[],3,0)</f>
        <v>Northeast</v>
      </c>
      <c r="I278" s="1" t="str">
        <f>TEXT(InputData[[#This Row],[DATE]],"mmmm")</f>
        <v>April</v>
      </c>
      <c r="J278" s="1" t="str">
        <f>TEXT(InputData[[#This Row],[DATE]],"ddd")</f>
        <v>Fri</v>
      </c>
      <c r="K278" s="14">
        <f>WEEKNUM(InputData[[#This Row],[DATE]])</f>
        <v>17</v>
      </c>
      <c r="N278"/>
      <c r="R278" s="3" t="s">
        <v>68</v>
      </c>
      <c r="S278" s="1" t="str">
        <f t="shared" si="8"/>
        <v>Delacroix Wholesale</v>
      </c>
      <c r="V278"/>
      <c r="Z278" s="11" t="s">
        <v>36</v>
      </c>
      <c r="AA278" s="1" t="str">
        <f t="shared" si="9"/>
        <v>Mending Plate 100mm</v>
      </c>
      <c r="AF278"/>
    </row>
    <row r="279" spans="1:32" x14ac:dyDescent="0.3">
      <c r="A279" s="10">
        <v>44309</v>
      </c>
      <c r="B279" s="3" t="s">
        <v>163</v>
      </c>
      <c r="C279" s="11" t="s">
        <v>272</v>
      </c>
      <c r="D279" s="12">
        <v>82.08</v>
      </c>
      <c r="E279" s="1">
        <v>15</v>
      </c>
      <c r="F279" s="13">
        <f>InputData[[#This Row],[QUANTITY]]*InputData[[#This Row],[UNIT PRICE (R)]]</f>
        <v>1231.2</v>
      </c>
      <c r="G279" s="1" t="str">
        <f>VLOOKUP(InputData[[#This Row],[CUSTOMER NAME]],Country[],2,0)</f>
        <v>South Africa</v>
      </c>
      <c r="H279" s="1" t="str">
        <f>VLOOKUP(InputData[[#This Row],[CUSTOMER NAME]],Country[],3,0)</f>
        <v>Export</v>
      </c>
      <c r="I279" s="1" t="str">
        <f>TEXT(InputData[[#This Row],[DATE]],"mmmm")</f>
        <v>April</v>
      </c>
      <c r="J279" s="1" t="str">
        <f>TEXT(InputData[[#This Row],[DATE]],"ddd")</f>
        <v>Fri</v>
      </c>
      <c r="K279" s="14">
        <f>WEEKNUM(InputData[[#This Row],[DATE]])</f>
        <v>17</v>
      </c>
      <c r="N279"/>
      <c r="R279" s="3" t="s">
        <v>50</v>
      </c>
      <c r="S279" s="1" t="str">
        <f t="shared" si="8"/>
        <v>Meridian Hardware Co.</v>
      </c>
      <c r="V279"/>
      <c r="Z279" s="11" t="s">
        <v>28</v>
      </c>
      <c r="AA279" s="1" t="str">
        <f t="shared" si="9"/>
        <v>Cabinet Hinge 75mm</v>
      </c>
      <c r="AF279"/>
    </row>
    <row r="280" spans="1:32" x14ac:dyDescent="0.3">
      <c r="A280" s="10">
        <v>44309</v>
      </c>
      <c r="B280" s="3" t="s">
        <v>171</v>
      </c>
      <c r="C280" s="11" t="s">
        <v>270</v>
      </c>
      <c r="D280" s="12">
        <v>162</v>
      </c>
      <c r="E280" s="1">
        <v>6</v>
      </c>
      <c r="F280" s="13">
        <f>InputData[[#This Row],[QUANTITY]]*InputData[[#This Row],[UNIT PRICE (R)]]</f>
        <v>972</v>
      </c>
      <c r="G280" s="1" t="str">
        <f>VLOOKUP(InputData[[#This Row],[CUSTOMER NAME]],Country[],2,0)</f>
        <v>India</v>
      </c>
      <c r="H280" s="1" t="str">
        <f>VLOOKUP(InputData[[#This Row],[CUSTOMER NAME]],Country[],3,0)</f>
        <v>South</v>
      </c>
      <c r="I280" s="1" t="str">
        <f>TEXT(InputData[[#This Row],[DATE]],"mmmm")</f>
        <v>April</v>
      </c>
      <c r="J280" s="1" t="str">
        <f>TEXT(InputData[[#This Row],[DATE]],"ddd")</f>
        <v>Fri</v>
      </c>
      <c r="K280" s="14">
        <f>WEEKNUM(InputData[[#This Row],[DATE]])</f>
        <v>17</v>
      </c>
      <c r="N280"/>
      <c r="R280" s="3" t="s">
        <v>68</v>
      </c>
      <c r="S280" s="1" t="str">
        <f t="shared" si="8"/>
        <v>Delacroix Wholesale</v>
      </c>
      <c r="V280"/>
      <c r="Z280" s="11" t="s">
        <v>44</v>
      </c>
      <c r="AA280" s="1" t="str">
        <f t="shared" si="9"/>
        <v>Brass Elbow Joint 20mm</v>
      </c>
      <c r="AF280"/>
    </row>
    <row r="281" spans="1:32" x14ac:dyDescent="0.3">
      <c r="A281" s="10">
        <v>44310</v>
      </c>
      <c r="B281" s="3" t="s">
        <v>145</v>
      </c>
      <c r="C281" s="11" t="s">
        <v>262</v>
      </c>
      <c r="D281" s="12">
        <v>58.3</v>
      </c>
      <c r="E281" s="1">
        <v>4</v>
      </c>
      <c r="F281" s="13">
        <f>InputData[[#This Row],[QUANTITY]]*InputData[[#This Row],[UNIT PRICE (R)]]</f>
        <v>233.2</v>
      </c>
      <c r="G281" s="1" t="str">
        <f>VLOOKUP(InputData[[#This Row],[CUSTOMER NAME]],Country[],2,0)</f>
        <v>India</v>
      </c>
      <c r="H281" s="1" t="str">
        <f>VLOOKUP(InputData[[#This Row],[CUSTOMER NAME]],Country[],3,0)</f>
        <v>Northeast</v>
      </c>
      <c r="I281" s="1" t="str">
        <f>TEXT(InputData[[#This Row],[DATE]],"mmmm")</f>
        <v>April</v>
      </c>
      <c r="J281" s="1" t="str">
        <f>TEXT(InputData[[#This Row],[DATE]],"ddd")</f>
        <v>Sat</v>
      </c>
      <c r="K281" s="14">
        <f>WEEKNUM(InputData[[#This Row],[DATE]])</f>
        <v>17</v>
      </c>
      <c r="N281"/>
      <c r="R281" s="3" t="s">
        <v>76</v>
      </c>
      <c r="S281" s="1" t="str">
        <f t="shared" si="8"/>
        <v>Overton Retail Solutions</v>
      </c>
      <c r="V281"/>
      <c r="Z281" s="11" t="s">
        <v>42</v>
      </c>
      <c r="AA281" s="1" t="str">
        <f t="shared" si="9"/>
        <v>PVC Coupling 25mm</v>
      </c>
      <c r="AF281"/>
    </row>
    <row r="282" spans="1:32" x14ac:dyDescent="0.3">
      <c r="A282" s="10">
        <v>44310</v>
      </c>
      <c r="B282" s="3" t="s">
        <v>153</v>
      </c>
      <c r="C282" s="11" t="s">
        <v>266</v>
      </c>
      <c r="D282" s="12">
        <v>79.92</v>
      </c>
      <c r="E282" s="1">
        <v>1</v>
      </c>
      <c r="F282" s="13">
        <f>InputData[[#This Row],[QUANTITY]]*InputData[[#This Row],[UNIT PRICE (R)]]</f>
        <v>79.92</v>
      </c>
      <c r="G282" s="1" t="str">
        <f>VLOOKUP(InputData[[#This Row],[CUSTOMER NAME]],Country[],2,0)</f>
        <v>Mexico</v>
      </c>
      <c r="H282" s="1" t="str">
        <f>VLOOKUP(InputData[[#This Row],[CUSTOMER NAME]],Country[],3,0)</f>
        <v>Export</v>
      </c>
      <c r="I282" s="1" t="str">
        <f>TEXT(InputData[[#This Row],[DATE]],"mmmm")</f>
        <v>April</v>
      </c>
      <c r="J282" s="1" t="str">
        <f>TEXT(InputData[[#This Row],[DATE]],"ddd")</f>
        <v>Sat</v>
      </c>
      <c r="K282" s="14">
        <f>WEEKNUM(InputData[[#This Row],[DATE]])</f>
        <v>17</v>
      </c>
      <c r="N282"/>
      <c r="R282" s="3" t="s">
        <v>50</v>
      </c>
      <c r="S282" s="1" t="str">
        <f t="shared" si="8"/>
        <v>Meridian Hardware Co.</v>
      </c>
      <c r="V282"/>
      <c r="Z282" s="11" t="s">
        <v>34</v>
      </c>
      <c r="AA282" s="1" t="str">
        <f t="shared" si="9"/>
        <v>L-Bracket 75mm</v>
      </c>
      <c r="AF282"/>
    </row>
    <row r="283" spans="1:32" x14ac:dyDescent="0.3">
      <c r="A283" s="10">
        <v>44310</v>
      </c>
      <c r="B283" s="3" t="s">
        <v>170</v>
      </c>
      <c r="C283" s="11" t="s">
        <v>258</v>
      </c>
      <c r="D283" s="12">
        <v>201.28</v>
      </c>
      <c r="E283" s="1">
        <v>2</v>
      </c>
      <c r="F283" s="13">
        <f>InputData[[#This Row],[QUANTITY]]*InputData[[#This Row],[UNIT PRICE (R)]]</f>
        <v>402.56</v>
      </c>
      <c r="G283" s="1" t="str">
        <f>VLOOKUP(InputData[[#This Row],[CUSTOMER NAME]],Country[],2,0)</f>
        <v>France</v>
      </c>
      <c r="H283" s="1" t="str">
        <f>VLOOKUP(InputData[[#This Row],[CUSTOMER NAME]],Country[],3,0)</f>
        <v>Export</v>
      </c>
      <c r="I283" s="1" t="str">
        <f>TEXT(InputData[[#This Row],[DATE]],"mmmm")</f>
        <v>April</v>
      </c>
      <c r="J283" s="1" t="str">
        <f>TEXT(InputData[[#This Row],[DATE]],"ddd")</f>
        <v>Sat</v>
      </c>
      <c r="K283" s="14">
        <f>WEEKNUM(InputData[[#This Row],[DATE]])</f>
        <v>17</v>
      </c>
      <c r="N283"/>
      <c r="R283" s="3" t="s">
        <v>58</v>
      </c>
      <c r="S283" s="1" t="str">
        <f t="shared" si="8"/>
        <v>Redwood Mercantile</v>
      </c>
      <c r="V283"/>
      <c r="Z283" s="11" t="s">
        <v>38</v>
      </c>
      <c r="AA283" s="1" t="str">
        <f t="shared" si="9"/>
        <v>Cable Tie 300mm</v>
      </c>
      <c r="AF283"/>
    </row>
    <row r="284" spans="1:32" x14ac:dyDescent="0.3">
      <c r="A284" s="10">
        <v>44310</v>
      </c>
      <c r="B284" s="3" t="s">
        <v>171</v>
      </c>
      <c r="C284" s="11" t="s">
        <v>249</v>
      </c>
      <c r="D284" s="12">
        <v>162.54</v>
      </c>
      <c r="E284" s="1">
        <v>39</v>
      </c>
      <c r="F284" s="13">
        <f>InputData[[#This Row],[QUANTITY]]*InputData[[#This Row],[UNIT PRICE (R)]]</f>
        <v>6339.0599999999995</v>
      </c>
      <c r="G284" s="1" t="str">
        <f>VLOOKUP(InputData[[#This Row],[CUSTOMER NAME]],Country[],2,0)</f>
        <v>India</v>
      </c>
      <c r="H284" s="1" t="str">
        <f>VLOOKUP(InputData[[#This Row],[CUSTOMER NAME]],Country[],3,0)</f>
        <v>South</v>
      </c>
      <c r="I284" s="1" t="str">
        <f>TEXT(InputData[[#This Row],[DATE]],"mmmm")</f>
        <v>April</v>
      </c>
      <c r="J284" s="1" t="str">
        <f>TEXT(InputData[[#This Row],[DATE]],"ddd")</f>
        <v>Sat</v>
      </c>
      <c r="K284" s="14">
        <f>WEEKNUM(InputData[[#This Row],[DATE]])</f>
        <v>17</v>
      </c>
      <c r="N284"/>
      <c r="R284" s="3" t="s">
        <v>75</v>
      </c>
      <c r="S284" s="1" t="str">
        <f t="shared" si="8"/>
        <v>Cranfield &amp; Co.</v>
      </c>
      <c r="V284"/>
      <c r="Z284" s="11" t="s">
        <v>30</v>
      </c>
      <c r="AA284" s="1" t="str">
        <f t="shared" si="9"/>
        <v>Door Latch Set</v>
      </c>
      <c r="AF284"/>
    </row>
    <row r="285" spans="1:32" x14ac:dyDescent="0.3">
      <c r="A285" s="10">
        <v>44311</v>
      </c>
      <c r="B285" s="3" t="s">
        <v>145</v>
      </c>
      <c r="C285" s="11" t="s">
        <v>231</v>
      </c>
      <c r="D285" s="12">
        <v>80.94</v>
      </c>
      <c r="E285" s="1">
        <v>8</v>
      </c>
      <c r="F285" s="13">
        <f>InputData[[#This Row],[QUANTITY]]*InputData[[#This Row],[UNIT PRICE (R)]]</f>
        <v>647.52</v>
      </c>
      <c r="G285" s="1" t="str">
        <f>VLOOKUP(InputData[[#This Row],[CUSTOMER NAME]],Country[],2,0)</f>
        <v>India</v>
      </c>
      <c r="H285" s="1" t="str">
        <f>VLOOKUP(InputData[[#This Row],[CUSTOMER NAME]],Country[],3,0)</f>
        <v>Northeast</v>
      </c>
      <c r="I285" s="1" t="str">
        <f>TEXT(InputData[[#This Row],[DATE]],"mmmm")</f>
        <v>April</v>
      </c>
      <c r="J285" s="1" t="str">
        <f>TEXT(InputData[[#This Row],[DATE]],"ddd")</f>
        <v>Sun</v>
      </c>
      <c r="K285" s="14">
        <f>WEEKNUM(InputData[[#This Row],[DATE]])</f>
        <v>18</v>
      </c>
      <c r="N285"/>
      <c r="R285" s="3" t="s">
        <v>76</v>
      </c>
      <c r="S285" s="1" t="str">
        <f t="shared" si="8"/>
        <v>Overton Retail Solutions</v>
      </c>
      <c r="V285"/>
      <c r="Z285" s="11" t="s">
        <v>21</v>
      </c>
      <c r="AA285" s="1" t="str">
        <f t="shared" si="9"/>
        <v>Pipe Clamp 25mm</v>
      </c>
      <c r="AF285"/>
    </row>
    <row r="286" spans="1:32" x14ac:dyDescent="0.3">
      <c r="A286" s="10">
        <v>44311</v>
      </c>
      <c r="B286" s="3" t="s">
        <v>165</v>
      </c>
      <c r="C286" s="11" t="s">
        <v>232</v>
      </c>
      <c r="D286" s="12">
        <v>48.84</v>
      </c>
      <c r="E286" s="1">
        <v>9</v>
      </c>
      <c r="F286" s="13">
        <f>InputData[[#This Row],[QUANTITY]]*InputData[[#This Row],[UNIT PRICE (R)]]</f>
        <v>439.56000000000006</v>
      </c>
      <c r="G286" s="1" t="str">
        <f>VLOOKUP(InputData[[#This Row],[CUSTOMER NAME]],Country[],2,0)</f>
        <v>India</v>
      </c>
      <c r="H286" s="1" t="str">
        <f>VLOOKUP(InputData[[#This Row],[CUSTOMER NAME]],Country[],3,0)</f>
        <v>Western</v>
      </c>
      <c r="I286" s="1" t="str">
        <f>TEXT(InputData[[#This Row],[DATE]],"mmmm")</f>
        <v>April</v>
      </c>
      <c r="J286" s="1" t="str">
        <f>TEXT(InputData[[#This Row],[DATE]],"ddd")</f>
        <v>Sun</v>
      </c>
      <c r="K286" s="14">
        <f>WEEKNUM(InputData[[#This Row],[DATE]])</f>
        <v>18</v>
      </c>
      <c r="N286"/>
      <c r="R286" s="3" t="s">
        <v>50</v>
      </c>
      <c r="S286" s="1" t="str">
        <f t="shared" si="8"/>
        <v>Meridian Hardware Co.</v>
      </c>
      <c r="V286"/>
      <c r="Z286" s="11" t="s">
        <v>3</v>
      </c>
      <c r="AA286" s="1" t="str">
        <f t="shared" si="9"/>
        <v>Hex Bolt M12</v>
      </c>
      <c r="AF286"/>
    </row>
    <row r="287" spans="1:32" x14ac:dyDescent="0.3">
      <c r="A287" s="10">
        <v>44312</v>
      </c>
      <c r="B287" s="3" t="s">
        <v>156</v>
      </c>
      <c r="C287" s="11" t="s">
        <v>265</v>
      </c>
      <c r="D287" s="12">
        <v>85.76</v>
      </c>
      <c r="E287" s="1">
        <v>3</v>
      </c>
      <c r="F287" s="13">
        <f>InputData[[#This Row],[QUANTITY]]*InputData[[#This Row],[UNIT PRICE (R)]]</f>
        <v>257.28000000000003</v>
      </c>
      <c r="G287" s="1" t="str">
        <f>VLOOKUP(InputData[[#This Row],[CUSTOMER NAME]],Country[],2,0)</f>
        <v>India</v>
      </c>
      <c r="H287" s="1" t="str">
        <f>VLOOKUP(InputData[[#This Row],[CUSTOMER NAME]],Country[],3,0)</f>
        <v>East</v>
      </c>
      <c r="I287" s="1" t="str">
        <f>TEXT(InputData[[#This Row],[DATE]],"mmmm")</f>
        <v>April</v>
      </c>
      <c r="J287" s="1" t="str">
        <f>TEXT(InputData[[#This Row],[DATE]],"ddd")</f>
        <v>Mon</v>
      </c>
      <c r="K287" s="14">
        <f>WEEKNUM(InputData[[#This Row],[DATE]])</f>
        <v>18</v>
      </c>
      <c r="N287"/>
      <c r="R287" s="3" t="s">
        <v>70</v>
      </c>
      <c r="S287" s="1" t="str">
        <f t="shared" si="8"/>
        <v>Larkspur Retailers</v>
      </c>
      <c r="V287"/>
      <c r="Z287" s="11" t="s">
        <v>4</v>
      </c>
      <c r="AA287" s="1" t="str">
        <f t="shared" si="9"/>
        <v>Carriage Bolt M8</v>
      </c>
      <c r="AF287"/>
    </row>
    <row r="288" spans="1:32" x14ac:dyDescent="0.3">
      <c r="A288" s="10">
        <v>44312</v>
      </c>
      <c r="B288" s="3" t="s">
        <v>168</v>
      </c>
      <c r="C288" s="11" t="s">
        <v>255</v>
      </c>
      <c r="D288" s="12">
        <v>57.120000000000005</v>
      </c>
      <c r="E288" s="1">
        <v>2</v>
      </c>
      <c r="F288" s="13">
        <f>InputData[[#This Row],[QUANTITY]]*InputData[[#This Row],[UNIT PRICE (R)]]</f>
        <v>114.24000000000001</v>
      </c>
      <c r="G288" s="1" t="str">
        <f>VLOOKUP(InputData[[#This Row],[CUSTOMER NAME]],Country[],2,0)</f>
        <v>India</v>
      </c>
      <c r="H288" s="1" t="str">
        <f>VLOOKUP(InputData[[#This Row],[CUSTOMER NAME]],Country[],3,0)</f>
        <v>Northeast</v>
      </c>
      <c r="I288" s="1" t="str">
        <f>TEXT(InputData[[#This Row],[DATE]],"mmmm")</f>
        <v>April</v>
      </c>
      <c r="J288" s="1" t="str">
        <f>TEXT(InputData[[#This Row],[DATE]],"ddd")</f>
        <v>Mon</v>
      </c>
      <c r="K288" s="14">
        <f>WEEKNUM(InputData[[#This Row],[DATE]])</f>
        <v>18</v>
      </c>
      <c r="N288"/>
      <c r="R288" s="3" t="s">
        <v>61</v>
      </c>
      <c r="S288" s="1" t="str">
        <f t="shared" si="8"/>
        <v>Fairstone Retail Group</v>
      </c>
      <c r="V288"/>
      <c r="Z288" s="11" t="s">
        <v>37</v>
      </c>
      <c r="AA288" s="1" t="str">
        <f t="shared" si="9"/>
        <v>Turnbuckle Hook M6</v>
      </c>
      <c r="AF288"/>
    </row>
    <row r="289" spans="1:32" x14ac:dyDescent="0.3">
      <c r="A289" s="10">
        <v>44314</v>
      </c>
      <c r="B289" s="3" t="s">
        <v>144</v>
      </c>
      <c r="C289" s="11" t="s">
        <v>242</v>
      </c>
      <c r="D289" s="12">
        <v>146.72</v>
      </c>
      <c r="E289" s="1">
        <v>14</v>
      </c>
      <c r="F289" s="13">
        <f>InputData[[#This Row],[QUANTITY]]*InputData[[#This Row],[UNIT PRICE (R)]]</f>
        <v>2054.08</v>
      </c>
      <c r="G289" s="1" t="str">
        <f>VLOOKUP(InputData[[#This Row],[CUSTOMER NAME]],Country[],2,0)</f>
        <v>Bangladesh</v>
      </c>
      <c r="H289" s="1" t="str">
        <f>VLOOKUP(InputData[[#This Row],[CUSTOMER NAME]],Country[],3,0)</f>
        <v>Export</v>
      </c>
      <c r="I289" s="1" t="str">
        <f>TEXT(InputData[[#This Row],[DATE]],"mmmm")</f>
        <v>April</v>
      </c>
      <c r="J289" s="1" t="str">
        <f>TEXT(InputData[[#This Row],[DATE]],"ddd")</f>
        <v>Wed</v>
      </c>
      <c r="K289" s="14">
        <f>WEEKNUM(InputData[[#This Row],[DATE]])</f>
        <v>18</v>
      </c>
      <c r="N289"/>
      <c r="R289" s="3" t="s">
        <v>73</v>
      </c>
      <c r="S289" s="1" t="str">
        <f t="shared" si="8"/>
        <v>Ashworth Trading Group</v>
      </c>
      <c r="V289"/>
      <c r="Z289" s="11" t="s">
        <v>27</v>
      </c>
      <c r="AA289" s="1" t="str">
        <f t="shared" si="9"/>
        <v>Padlock Hasp 100mm</v>
      </c>
      <c r="AF289"/>
    </row>
    <row r="290" spans="1:32" x14ac:dyDescent="0.3">
      <c r="A290" s="10">
        <v>44314</v>
      </c>
      <c r="B290" s="3" t="s">
        <v>172</v>
      </c>
      <c r="C290" s="11" t="s">
        <v>248</v>
      </c>
      <c r="D290" s="12">
        <v>76.25</v>
      </c>
      <c r="E290" s="1">
        <v>30</v>
      </c>
      <c r="F290" s="13">
        <f>InputData[[#This Row],[QUANTITY]]*InputData[[#This Row],[UNIT PRICE (R)]]</f>
        <v>2287.5</v>
      </c>
      <c r="G290" s="1" t="str">
        <f>VLOOKUP(InputData[[#This Row],[CUSTOMER NAME]],Country[],2,0)</f>
        <v>Mexico</v>
      </c>
      <c r="H290" s="1" t="str">
        <f>VLOOKUP(InputData[[#This Row],[CUSTOMER NAME]],Country[],3,0)</f>
        <v>Export</v>
      </c>
      <c r="I290" s="1" t="str">
        <f>TEXT(InputData[[#This Row],[DATE]],"mmmm")</f>
        <v>April</v>
      </c>
      <c r="J290" s="1" t="str">
        <f>TEXT(InputData[[#This Row],[DATE]],"ddd")</f>
        <v>Wed</v>
      </c>
      <c r="K290" s="14">
        <f>WEEKNUM(InputData[[#This Row],[DATE]])</f>
        <v>18</v>
      </c>
      <c r="N290"/>
      <c r="R290" s="3" t="s">
        <v>49</v>
      </c>
      <c r="S290" s="1" t="str">
        <f t="shared" si="8"/>
        <v>Baxter &amp; Kline Supplies</v>
      </c>
      <c r="V290"/>
      <c r="Z290" s="11" t="s">
        <v>14</v>
      </c>
      <c r="AA290" s="1" t="str">
        <f t="shared" si="9"/>
        <v>Cap Screw M6</v>
      </c>
      <c r="AF290"/>
    </row>
    <row r="291" spans="1:32" x14ac:dyDescent="0.3">
      <c r="A291" s="10">
        <v>44315</v>
      </c>
      <c r="B291" s="3" t="s">
        <v>154</v>
      </c>
      <c r="C291" s="11" t="s">
        <v>249</v>
      </c>
      <c r="D291" s="12">
        <v>162.54</v>
      </c>
      <c r="E291" s="1">
        <v>13</v>
      </c>
      <c r="F291" s="13">
        <f>InputData[[#This Row],[QUANTITY]]*InputData[[#This Row],[UNIT PRICE (R)]]</f>
        <v>2113.02</v>
      </c>
      <c r="G291" s="1" t="str">
        <f>VLOOKUP(InputData[[#This Row],[CUSTOMER NAME]],Country[],2,0)</f>
        <v>India</v>
      </c>
      <c r="H291" s="1" t="str">
        <f>VLOOKUP(InputData[[#This Row],[CUSTOMER NAME]],Country[],3,0)</f>
        <v>Central</v>
      </c>
      <c r="I291" s="1" t="str">
        <f>TEXT(InputData[[#This Row],[DATE]],"mmmm")</f>
        <v>April</v>
      </c>
      <c r="J291" s="1" t="str">
        <f>TEXT(InputData[[#This Row],[DATE]],"ddd")</f>
        <v>Thu</v>
      </c>
      <c r="K291" s="14">
        <f>WEEKNUM(InputData[[#This Row],[DATE]])</f>
        <v>18</v>
      </c>
      <c r="N291"/>
      <c r="R291" s="3" t="s">
        <v>77</v>
      </c>
      <c r="S291" s="1" t="str">
        <f t="shared" si="8"/>
        <v>Fenwick Traders</v>
      </c>
      <c r="V291"/>
      <c r="Z291" s="11" t="s">
        <v>20</v>
      </c>
      <c r="AA291" s="1" t="str">
        <f t="shared" si="9"/>
        <v>Toggle Bolt M6</v>
      </c>
      <c r="AF291"/>
    </row>
    <row r="292" spans="1:32" x14ac:dyDescent="0.3">
      <c r="A292" s="10">
        <v>44315</v>
      </c>
      <c r="B292" s="3" t="s">
        <v>171</v>
      </c>
      <c r="C292" s="11" t="s">
        <v>258</v>
      </c>
      <c r="D292" s="12">
        <v>201.28</v>
      </c>
      <c r="E292" s="1">
        <v>7</v>
      </c>
      <c r="F292" s="13">
        <f>InputData[[#This Row],[QUANTITY]]*InputData[[#This Row],[UNIT PRICE (R)]]</f>
        <v>1408.96</v>
      </c>
      <c r="G292" s="1" t="str">
        <f>VLOOKUP(InputData[[#This Row],[CUSTOMER NAME]],Country[],2,0)</f>
        <v>India</v>
      </c>
      <c r="H292" s="1" t="str">
        <f>VLOOKUP(InputData[[#This Row],[CUSTOMER NAME]],Country[],3,0)</f>
        <v>South</v>
      </c>
      <c r="I292" s="1" t="str">
        <f>TEXT(InputData[[#This Row],[DATE]],"mmmm")</f>
        <v>April</v>
      </c>
      <c r="J292" s="1" t="str">
        <f>TEXT(InputData[[#This Row],[DATE]],"ddd")</f>
        <v>Thu</v>
      </c>
      <c r="K292" s="14">
        <f>WEEKNUM(InputData[[#This Row],[DATE]])</f>
        <v>18</v>
      </c>
      <c r="N292"/>
      <c r="R292" s="3" t="s">
        <v>59</v>
      </c>
      <c r="S292" s="1" t="str">
        <f t="shared" si="8"/>
        <v>Bellview Enterprises</v>
      </c>
      <c r="V292"/>
      <c r="Z292" s="11" t="s">
        <v>21</v>
      </c>
      <c r="AA292" s="1" t="str">
        <f t="shared" si="9"/>
        <v>Pipe Clamp 25mm</v>
      </c>
      <c r="AF292"/>
    </row>
    <row r="293" spans="1:32" x14ac:dyDescent="0.3">
      <c r="A293" s="10">
        <v>44316</v>
      </c>
      <c r="B293" s="3" t="s">
        <v>177</v>
      </c>
      <c r="C293" s="11" t="s">
        <v>244</v>
      </c>
      <c r="D293" s="12">
        <v>16.64</v>
      </c>
      <c r="E293" s="1">
        <v>13</v>
      </c>
      <c r="F293" s="13">
        <f>InputData[[#This Row],[QUANTITY]]*InputData[[#This Row],[UNIT PRICE (R)]]</f>
        <v>216.32</v>
      </c>
      <c r="G293" s="1" t="str">
        <f>VLOOKUP(InputData[[#This Row],[CUSTOMER NAME]],Country[],2,0)</f>
        <v>India</v>
      </c>
      <c r="H293" s="1" t="str">
        <f>VLOOKUP(InputData[[#This Row],[CUSTOMER NAME]],Country[],3,0)</f>
        <v>North</v>
      </c>
      <c r="I293" s="1" t="str">
        <f>TEXT(InputData[[#This Row],[DATE]],"mmmm")</f>
        <v>April</v>
      </c>
      <c r="J293" s="1" t="str">
        <f>TEXT(InputData[[#This Row],[DATE]],"ddd")</f>
        <v>Fri</v>
      </c>
      <c r="K293" s="14">
        <f>WEEKNUM(InputData[[#This Row],[DATE]])</f>
        <v>18</v>
      </c>
      <c r="N293"/>
      <c r="R293" s="3" t="s">
        <v>76</v>
      </c>
      <c r="S293" s="1" t="str">
        <f t="shared" si="8"/>
        <v>Overton Retail Solutions</v>
      </c>
      <c r="V293"/>
      <c r="Z293" s="11" t="s">
        <v>30</v>
      </c>
      <c r="AA293" s="1" t="str">
        <f t="shared" si="9"/>
        <v>Door Latch Set</v>
      </c>
      <c r="AF293"/>
    </row>
    <row r="294" spans="1:32" x14ac:dyDescent="0.3">
      <c r="A294" s="10">
        <v>44316</v>
      </c>
      <c r="B294" s="3" t="s">
        <v>157</v>
      </c>
      <c r="C294" s="11" t="s">
        <v>257</v>
      </c>
      <c r="D294" s="12">
        <v>53.11</v>
      </c>
      <c r="E294" s="1">
        <v>1</v>
      </c>
      <c r="F294" s="13">
        <f>InputData[[#This Row],[QUANTITY]]*InputData[[#This Row],[UNIT PRICE (R)]]</f>
        <v>53.11</v>
      </c>
      <c r="G294" s="1" t="str">
        <f>VLOOKUP(InputData[[#This Row],[CUSTOMER NAME]],Country[],2,0)</f>
        <v>Brazil</v>
      </c>
      <c r="H294" s="1" t="str">
        <f>VLOOKUP(InputData[[#This Row],[CUSTOMER NAME]],Country[],3,0)</f>
        <v>Export</v>
      </c>
      <c r="I294" s="1" t="str">
        <f>TEXT(InputData[[#This Row],[DATE]],"mmmm")</f>
        <v>April</v>
      </c>
      <c r="J294" s="1" t="str">
        <f>TEXT(InputData[[#This Row],[DATE]],"ddd")</f>
        <v>Fri</v>
      </c>
      <c r="K294" s="14">
        <f>WEEKNUM(InputData[[#This Row],[DATE]])</f>
        <v>18</v>
      </c>
      <c r="N294"/>
      <c r="R294" s="3" t="s">
        <v>99</v>
      </c>
      <c r="S294" s="1" t="str">
        <f t="shared" si="8"/>
        <v>Northfield Traders</v>
      </c>
      <c r="V294"/>
      <c r="Z294" s="11" t="s">
        <v>16</v>
      </c>
      <c r="AA294" s="1" t="str">
        <f t="shared" si="9"/>
        <v>Blind Rivet 6mm</v>
      </c>
      <c r="AF294"/>
    </row>
    <row r="295" spans="1:32" x14ac:dyDescent="0.3">
      <c r="A295" s="10">
        <v>44316</v>
      </c>
      <c r="B295" s="3" t="s">
        <v>163</v>
      </c>
      <c r="C295" s="11" t="s">
        <v>255</v>
      </c>
      <c r="D295" s="12">
        <v>57.120000000000005</v>
      </c>
      <c r="E295" s="1">
        <v>8</v>
      </c>
      <c r="F295" s="13">
        <f>InputData[[#This Row],[QUANTITY]]*InputData[[#This Row],[UNIT PRICE (R)]]</f>
        <v>456.96000000000004</v>
      </c>
      <c r="G295" s="1" t="str">
        <f>VLOOKUP(InputData[[#This Row],[CUSTOMER NAME]],Country[],2,0)</f>
        <v>South Africa</v>
      </c>
      <c r="H295" s="1" t="str">
        <f>VLOOKUP(InputData[[#This Row],[CUSTOMER NAME]],Country[],3,0)</f>
        <v>Export</v>
      </c>
      <c r="I295" s="1" t="str">
        <f>TEXT(InputData[[#This Row],[DATE]],"mmmm")</f>
        <v>April</v>
      </c>
      <c r="J295" s="1" t="str">
        <f>TEXT(InputData[[#This Row],[DATE]],"ddd")</f>
        <v>Fri</v>
      </c>
      <c r="K295" s="14">
        <f>WEEKNUM(InputData[[#This Row],[DATE]])</f>
        <v>18</v>
      </c>
      <c r="N295"/>
      <c r="R295" s="3" t="s">
        <v>62</v>
      </c>
      <c r="S295" s="1" t="str">
        <f t="shared" si="8"/>
        <v>Marchbank Traders</v>
      </c>
      <c r="V295"/>
      <c r="Z295" s="11" t="s">
        <v>29</v>
      </c>
      <c r="AA295" s="1" t="str">
        <f t="shared" si="9"/>
        <v>Butt Hinge 100mm</v>
      </c>
      <c r="AF295"/>
    </row>
    <row r="296" spans="1:32" x14ac:dyDescent="0.3">
      <c r="A296" s="10">
        <v>44317</v>
      </c>
      <c r="B296" s="3" t="s">
        <v>151</v>
      </c>
      <c r="C296" s="11" t="s">
        <v>259</v>
      </c>
      <c r="D296" s="12">
        <v>104.16</v>
      </c>
      <c r="E296" s="1">
        <v>2</v>
      </c>
      <c r="F296" s="13">
        <f>InputData[[#This Row],[QUANTITY]]*InputData[[#This Row],[UNIT PRICE (R)]]</f>
        <v>208.32</v>
      </c>
      <c r="G296" s="1" t="str">
        <f>VLOOKUP(InputData[[#This Row],[CUSTOMER NAME]],Country[],2,0)</f>
        <v>Russia</v>
      </c>
      <c r="H296" s="1" t="str">
        <f>VLOOKUP(InputData[[#This Row],[CUSTOMER NAME]],Country[],3,0)</f>
        <v>Export</v>
      </c>
      <c r="I296" s="1" t="str">
        <f>TEXT(InputData[[#This Row],[DATE]],"mmmm")</f>
        <v>May</v>
      </c>
      <c r="J296" s="1" t="str">
        <f>TEXT(InputData[[#This Row],[DATE]],"ddd")</f>
        <v>Sat</v>
      </c>
      <c r="K296" s="14">
        <f>WEEKNUM(InputData[[#This Row],[DATE]])</f>
        <v>18</v>
      </c>
      <c r="N296"/>
      <c r="R296" s="3" t="s">
        <v>68</v>
      </c>
      <c r="S296" s="1" t="str">
        <f t="shared" si="8"/>
        <v>Delacroix Wholesale</v>
      </c>
      <c r="V296"/>
      <c r="Z296" s="11" t="s">
        <v>27</v>
      </c>
      <c r="AA296" s="1" t="str">
        <f t="shared" si="9"/>
        <v>Padlock Hasp 100mm</v>
      </c>
      <c r="AF296"/>
    </row>
    <row r="297" spans="1:32" x14ac:dyDescent="0.3">
      <c r="A297" s="10">
        <v>44317</v>
      </c>
      <c r="B297" s="3" t="s">
        <v>154</v>
      </c>
      <c r="C297" s="11" t="s">
        <v>262</v>
      </c>
      <c r="D297" s="12">
        <v>58.3</v>
      </c>
      <c r="E297" s="1">
        <v>9</v>
      </c>
      <c r="F297" s="13">
        <f>InputData[[#This Row],[QUANTITY]]*InputData[[#This Row],[UNIT PRICE (R)]]</f>
        <v>524.69999999999993</v>
      </c>
      <c r="G297" s="1" t="str">
        <f>VLOOKUP(InputData[[#This Row],[CUSTOMER NAME]],Country[],2,0)</f>
        <v>India</v>
      </c>
      <c r="H297" s="1" t="str">
        <f>VLOOKUP(InputData[[#This Row],[CUSTOMER NAME]],Country[],3,0)</f>
        <v>Central</v>
      </c>
      <c r="I297" s="1" t="str">
        <f>TEXT(InputData[[#This Row],[DATE]],"mmmm")</f>
        <v>May</v>
      </c>
      <c r="J297" s="1" t="str">
        <f>TEXT(InputData[[#This Row],[DATE]],"ddd")</f>
        <v>Sat</v>
      </c>
      <c r="K297" s="14">
        <f>WEEKNUM(InputData[[#This Row],[DATE]])</f>
        <v>18</v>
      </c>
      <c r="N297"/>
      <c r="R297" s="3" t="s">
        <v>56</v>
      </c>
      <c r="S297" s="1" t="str">
        <f t="shared" si="8"/>
        <v>Northgate Industries</v>
      </c>
      <c r="V297"/>
      <c r="Z297" s="11" t="s">
        <v>31</v>
      </c>
      <c r="AA297" s="1" t="str">
        <f t="shared" si="9"/>
        <v>Gate Bolt 150mm</v>
      </c>
      <c r="AF297"/>
    </row>
    <row r="298" spans="1:32" x14ac:dyDescent="0.3">
      <c r="A298" s="10">
        <v>44317</v>
      </c>
      <c r="B298" s="3" t="s">
        <v>177</v>
      </c>
      <c r="C298" s="11" t="s">
        <v>261</v>
      </c>
      <c r="D298" s="12">
        <v>119.7</v>
      </c>
      <c r="E298" s="1">
        <v>6</v>
      </c>
      <c r="F298" s="13">
        <f>InputData[[#This Row],[QUANTITY]]*InputData[[#This Row],[UNIT PRICE (R)]]</f>
        <v>718.2</v>
      </c>
      <c r="G298" s="1" t="str">
        <f>VLOOKUP(InputData[[#This Row],[CUSTOMER NAME]],Country[],2,0)</f>
        <v>India</v>
      </c>
      <c r="H298" s="1" t="str">
        <f>VLOOKUP(InputData[[#This Row],[CUSTOMER NAME]],Country[],3,0)</f>
        <v>North</v>
      </c>
      <c r="I298" s="1" t="str">
        <f>TEXT(InputData[[#This Row],[DATE]],"mmmm")</f>
        <v>May</v>
      </c>
      <c r="J298" s="1" t="str">
        <f>TEXT(InputData[[#This Row],[DATE]],"ddd")</f>
        <v>Sat</v>
      </c>
      <c r="K298" s="14">
        <f>WEEKNUM(InputData[[#This Row],[DATE]])</f>
        <v>18</v>
      </c>
      <c r="N298"/>
      <c r="R298" s="3" t="s">
        <v>59</v>
      </c>
      <c r="S298" s="1" t="str">
        <f t="shared" si="8"/>
        <v>Bellview Enterprises</v>
      </c>
      <c r="V298"/>
      <c r="Z298" s="11" t="s">
        <v>34</v>
      </c>
      <c r="AA298" s="1" t="str">
        <f t="shared" si="9"/>
        <v>L-Bracket 75mm</v>
      </c>
      <c r="AF298"/>
    </row>
    <row r="299" spans="1:32" x14ac:dyDescent="0.3">
      <c r="A299" s="10">
        <v>44317</v>
      </c>
      <c r="B299" s="3" t="s">
        <v>164</v>
      </c>
      <c r="C299" s="11" t="s">
        <v>270</v>
      </c>
      <c r="D299" s="12">
        <v>162</v>
      </c>
      <c r="E299" s="1">
        <v>1</v>
      </c>
      <c r="F299" s="13">
        <f>InputData[[#This Row],[QUANTITY]]*InputData[[#This Row],[UNIT PRICE (R)]]</f>
        <v>162</v>
      </c>
      <c r="G299" s="1" t="str">
        <f>VLOOKUP(InputData[[#This Row],[CUSTOMER NAME]],Country[],2,0)</f>
        <v>India</v>
      </c>
      <c r="H299" s="1" t="str">
        <f>VLOOKUP(InputData[[#This Row],[CUSTOMER NAME]],Country[],3,0)</f>
        <v>East</v>
      </c>
      <c r="I299" s="1" t="str">
        <f>TEXT(InputData[[#This Row],[DATE]],"mmmm")</f>
        <v>May</v>
      </c>
      <c r="J299" s="1" t="str">
        <f>TEXT(InputData[[#This Row],[DATE]],"ddd")</f>
        <v>Sat</v>
      </c>
      <c r="K299" s="14">
        <f>WEEKNUM(InputData[[#This Row],[DATE]])</f>
        <v>18</v>
      </c>
      <c r="N299"/>
      <c r="R299" s="3" t="s">
        <v>99</v>
      </c>
      <c r="S299" s="1" t="str">
        <f t="shared" si="8"/>
        <v>Northfield Traders</v>
      </c>
      <c r="V299"/>
      <c r="Z299" s="11" t="s">
        <v>33</v>
      </c>
      <c r="AA299" s="1" t="str">
        <f t="shared" si="9"/>
        <v>Shelf Bracket 200mm</v>
      </c>
      <c r="AF299"/>
    </row>
    <row r="300" spans="1:32" x14ac:dyDescent="0.3">
      <c r="A300" s="10">
        <v>44317</v>
      </c>
      <c r="B300" s="3" t="s">
        <v>166</v>
      </c>
      <c r="C300" s="11" t="s">
        <v>246</v>
      </c>
      <c r="D300" s="12">
        <v>49.21</v>
      </c>
      <c r="E300" s="1">
        <v>3</v>
      </c>
      <c r="F300" s="13">
        <f>InputData[[#This Row],[QUANTITY]]*InputData[[#This Row],[UNIT PRICE (R)]]</f>
        <v>147.63</v>
      </c>
      <c r="G300" s="1" t="str">
        <f>VLOOKUP(InputData[[#This Row],[CUSTOMER NAME]],Country[],2,0)</f>
        <v>India</v>
      </c>
      <c r="H300" s="1" t="str">
        <f>VLOOKUP(InputData[[#This Row],[CUSTOMER NAME]],Country[],3,0)</f>
        <v>North</v>
      </c>
      <c r="I300" s="1" t="str">
        <f>TEXT(InputData[[#This Row],[DATE]],"mmmm")</f>
        <v>May</v>
      </c>
      <c r="J300" s="1" t="str">
        <f>TEXT(InputData[[#This Row],[DATE]],"ddd")</f>
        <v>Sat</v>
      </c>
      <c r="K300" s="14">
        <f>WEEKNUM(InputData[[#This Row],[DATE]])</f>
        <v>18</v>
      </c>
      <c r="N300"/>
      <c r="R300" s="3" t="s">
        <v>69</v>
      </c>
      <c r="S300" s="1" t="str">
        <f t="shared" si="8"/>
        <v>Southcote Industries</v>
      </c>
      <c r="V300"/>
      <c r="Z300" s="11" t="s">
        <v>42</v>
      </c>
      <c r="AA300" s="1" t="str">
        <f t="shared" si="9"/>
        <v>PVC Coupling 25mm</v>
      </c>
      <c r="AF300"/>
    </row>
    <row r="301" spans="1:32" x14ac:dyDescent="0.3">
      <c r="A301" s="10">
        <v>44318</v>
      </c>
      <c r="B301" s="3" t="s">
        <v>156</v>
      </c>
      <c r="C301" s="11" t="s">
        <v>241</v>
      </c>
      <c r="D301" s="12">
        <v>122.08</v>
      </c>
      <c r="E301" s="1">
        <v>4</v>
      </c>
      <c r="F301" s="13">
        <f>InputData[[#This Row],[QUANTITY]]*InputData[[#This Row],[UNIT PRICE (R)]]</f>
        <v>488.32</v>
      </c>
      <c r="G301" s="1" t="str">
        <f>VLOOKUP(InputData[[#This Row],[CUSTOMER NAME]],Country[],2,0)</f>
        <v>India</v>
      </c>
      <c r="H301" s="1" t="str">
        <f>VLOOKUP(InputData[[#This Row],[CUSTOMER NAME]],Country[],3,0)</f>
        <v>East</v>
      </c>
      <c r="I301" s="1" t="str">
        <f>TEXT(InputData[[#This Row],[DATE]],"mmmm")</f>
        <v>May</v>
      </c>
      <c r="J301" s="1" t="str">
        <f>TEXT(InputData[[#This Row],[DATE]],"ddd")</f>
        <v>Sun</v>
      </c>
      <c r="K301" s="14">
        <f>WEEKNUM(InputData[[#This Row],[DATE]])</f>
        <v>19</v>
      </c>
      <c r="N301"/>
      <c r="R301" s="3" t="s">
        <v>71</v>
      </c>
      <c r="S301" s="1" t="str">
        <f t="shared" si="8"/>
        <v>Blackfriars Supply</v>
      </c>
      <c r="V301"/>
      <c r="Z301" s="11" t="s">
        <v>18</v>
      </c>
      <c r="AA301" s="1" t="str">
        <f t="shared" si="9"/>
        <v>Split Pin 5mm</v>
      </c>
      <c r="AF301"/>
    </row>
    <row r="302" spans="1:32" x14ac:dyDescent="0.3">
      <c r="A302" s="10">
        <v>44319</v>
      </c>
      <c r="B302" s="3" t="s">
        <v>143</v>
      </c>
      <c r="C302" s="11" t="s">
        <v>262</v>
      </c>
      <c r="D302" s="12">
        <v>58.3</v>
      </c>
      <c r="E302" s="1">
        <v>3</v>
      </c>
      <c r="F302" s="13">
        <f>InputData[[#This Row],[QUANTITY]]*InputData[[#This Row],[UNIT PRICE (R)]]</f>
        <v>174.89999999999998</v>
      </c>
      <c r="G302" s="1" t="str">
        <f>VLOOKUP(InputData[[#This Row],[CUSTOMER NAME]],Country[],2,0)</f>
        <v>Nigeria</v>
      </c>
      <c r="H302" s="1" t="str">
        <f>VLOOKUP(InputData[[#This Row],[CUSTOMER NAME]],Country[],3,0)</f>
        <v>Export</v>
      </c>
      <c r="I302" s="1" t="str">
        <f>TEXT(InputData[[#This Row],[DATE]],"mmmm")</f>
        <v>May</v>
      </c>
      <c r="J302" s="1" t="str">
        <f>TEXT(InputData[[#This Row],[DATE]],"ddd")</f>
        <v>Mon</v>
      </c>
      <c r="K302" s="14">
        <f>WEEKNUM(InputData[[#This Row],[DATE]])</f>
        <v>19</v>
      </c>
      <c r="N302"/>
      <c r="R302" s="3" t="s">
        <v>61</v>
      </c>
      <c r="S302" s="1" t="str">
        <f t="shared" si="8"/>
        <v>Fairstone Retail Group</v>
      </c>
      <c r="V302"/>
      <c r="Z302" s="11" t="s">
        <v>13</v>
      </c>
      <c r="AA302" s="1" t="str">
        <f t="shared" si="9"/>
        <v>Machine Screw M4</v>
      </c>
      <c r="AF302"/>
    </row>
    <row r="303" spans="1:32" x14ac:dyDescent="0.3">
      <c r="A303" s="10">
        <v>44319</v>
      </c>
      <c r="B303" s="3" t="s">
        <v>169</v>
      </c>
      <c r="C303" s="11" t="s">
        <v>241</v>
      </c>
      <c r="D303" s="12">
        <v>122.08</v>
      </c>
      <c r="E303" s="1">
        <v>13</v>
      </c>
      <c r="F303" s="13">
        <f>InputData[[#This Row],[QUANTITY]]*InputData[[#This Row],[UNIT PRICE (R)]]</f>
        <v>1587.04</v>
      </c>
      <c r="G303" s="1" t="str">
        <f>VLOOKUP(InputData[[#This Row],[CUSTOMER NAME]],Country[],2,0)</f>
        <v>India</v>
      </c>
      <c r="H303" s="1" t="str">
        <f>VLOOKUP(InputData[[#This Row],[CUSTOMER NAME]],Country[],3,0)</f>
        <v>South</v>
      </c>
      <c r="I303" s="1" t="str">
        <f>TEXT(InputData[[#This Row],[DATE]],"mmmm")</f>
        <v>May</v>
      </c>
      <c r="J303" s="1" t="str">
        <f>TEXT(InputData[[#This Row],[DATE]],"ddd")</f>
        <v>Mon</v>
      </c>
      <c r="K303" s="14">
        <f>WEEKNUM(InputData[[#This Row],[DATE]])</f>
        <v>19</v>
      </c>
      <c r="N303"/>
      <c r="R303" s="3" t="s">
        <v>48</v>
      </c>
      <c r="S303" s="1" t="str">
        <f t="shared" si="8"/>
        <v>Thornwell Trading</v>
      </c>
      <c r="V303"/>
      <c r="Z303" s="11" t="s">
        <v>34</v>
      </c>
      <c r="AA303" s="1" t="str">
        <f t="shared" si="9"/>
        <v>L-Bracket 75mm</v>
      </c>
      <c r="AF303"/>
    </row>
    <row r="304" spans="1:32" x14ac:dyDescent="0.3">
      <c r="A304" s="10">
        <v>44320</v>
      </c>
      <c r="B304" s="3" t="s">
        <v>154</v>
      </c>
      <c r="C304" s="11" t="s">
        <v>242</v>
      </c>
      <c r="D304" s="12">
        <v>146.72</v>
      </c>
      <c r="E304" s="1">
        <v>4</v>
      </c>
      <c r="F304" s="13">
        <f>InputData[[#This Row],[QUANTITY]]*InputData[[#This Row],[UNIT PRICE (R)]]</f>
        <v>586.88</v>
      </c>
      <c r="G304" s="1" t="str">
        <f>VLOOKUP(InputData[[#This Row],[CUSTOMER NAME]],Country[],2,0)</f>
        <v>India</v>
      </c>
      <c r="H304" s="1" t="str">
        <f>VLOOKUP(InputData[[#This Row],[CUSTOMER NAME]],Country[],3,0)</f>
        <v>Central</v>
      </c>
      <c r="I304" s="1" t="str">
        <f>TEXT(InputData[[#This Row],[DATE]],"mmmm")</f>
        <v>May</v>
      </c>
      <c r="J304" s="1" t="str">
        <f>TEXT(InputData[[#This Row],[DATE]],"ddd")</f>
        <v>Tue</v>
      </c>
      <c r="K304" s="14">
        <f>WEEKNUM(InputData[[#This Row],[DATE]])</f>
        <v>19</v>
      </c>
      <c r="N304"/>
      <c r="R304" s="3" t="s">
        <v>74</v>
      </c>
      <c r="S304" s="1" t="str">
        <f t="shared" si="8"/>
        <v>Millbrook Distribution</v>
      </c>
      <c r="V304"/>
      <c r="Z304" s="11" t="s">
        <v>13</v>
      </c>
      <c r="AA304" s="1" t="str">
        <f t="shared" si="9"/>
        <v>Machine Screw M4</v>
      </c>
      <c r="AF304"/>
    </row>
    <row r="305" spans="1:32" x14ac:dyDescent="0.3">
      <c r="A305" s="10">
        <v>44320</v>
      </c>
      <c r="B305" s="3" t="s">
        <v>157</v>
      </c>
      <c r="C305" s="11" t="s">
        <v>243</v>
      </c>
      <c r="D305" s="12">
        <v>15.719999999999999</v>
      </c>
      <c r="E305" s="1">
        <v>13</v>
      </c>
      <c r="F305" s="13">
        <f>InputData[[#This Row],[QUANTITY]]*InputData[[#This Row],[UNIT PRICE (R)]]</f>
        <v>204.35999999999999</v>
      </c>
      <c r="G305" s="1" t="str">
        <f>VLOOKUP(InputData[[#This Row],[CUSTOMER NAME]],Country[],2,0)</f>
        <v>Brazil</v>
      </c>
      <c r="H305" s="1" t="str">
        <f>VLOOKUP(InputData[[#This Row],[CUSTOMER NAME]],Country[],3,0)</f>
        <v>Export</v>
      </c>
      <c r="I305" s="1" t="str">
        <f>TEXT(InputData[[#This Row],[DATE]],"mmmm")</f>
        <v>May</v>
      </c>
      <c r="J305" s="1" t="str">
        <f>TEXT(InputData[[#This Row],[DATE]],"ddd")</f>
        <v>Tue</v>
      </c>
      <c r="K305" s="14">
        <f>WEEKNUM(InputData[[#This Row],[DATE]])</f>
        <v>19</v>
      </c>
      <c r="N305"/>
      <c r="R305" s="3" t="s">
        <v>59</v>
      </c>
      <c r="S305" s="1" t="str">
        <f t="shared" si="8"/>
        <v>Bellview Enterprises</v>
      </c>
      <c r="V305"/>
      <c r="Z305" s="11" t="s">
        <v>14</v>
      </c>
      <c r="AA305" s="1" t="str">
        <f t="shared" si="9"/>
        <v>Cap Screw M6</v>
      </c>
      <c r="AF305"/>
    </row>
    <row r="306" spans="1:32" x14ac:dyDescent="0.3">
      <c r="A306" s="10">
        <v>44320</v>
      </c>
      <c r="B306" s="3" t="s">
        <v>169</v>
      </c>
      <c r="C306" s="11" t="s">
        <v>248</v>
      </c>
      <c r="D306" s="12">
        <v>76.25</v>
      </c>
      <c r="E306" s="1">
        <v>10</v>
      </c>
      <c r="F306" s="13">
        <f>InputData[[#This Row],[QUANTITY]]*InputData[[#This Row],[UNIT PRICE (R)]]</f>
        <v>762.5</v>
      </c>
      <c r="G306" s="1" t="str">
        <f>VLOOKUP(InputData[[#This Row],[CUSTOMER NAME]],Country[],2,0)</f>
        <v>India</v>
      </c>
      <c r="H306" s="1" t="str">
        <f>VLOOKUP(InputData[[#This Row],[CUSTOMER NAME]],Country[],3,0)</f>
        <v>South</v>
      </c>
      <c r="I306" s="1" t="str">
        <f>TEXT(InputData[[#This Row],[DATE]],"mmmm")</f>
        <v>May</v>
      </c>
      <c r="J306" s="1" t="str">
        <f>TEXT(InputData[[#This Row],[DATE]],"ddd")</f>
        <v>Tue</v>
      </c>
      <c r="K306" s="14">
        <f>WEEKNUM(InputData[[#This Row],[DATE]])</f>
        <v>19</v>
      </c>
      <c r="N306"/>
      <c r="R306" s="3" t="s">
        <v>62</v>
      </c>
      <c r="S306" s="1" t="str">
        <f t="shared" si="8"/>
        <v>Marchbank Traders</v>
      </c>
      <c r="V306"/>
      <c r="Z306" s="11" t="s">
        <v>15</v>
      </c>
      <c r="AA306" s="1" t="str">
        <f t="shared" si="9"/>
        <v>Rivet 4mm</v>
      </c>
      <c r="AF306"/>
    </row>
    <row r="307" spans="1:32" x14ac:dyDescent="0.3">
      <c r="A307" s="10">
        <v>44321</v>
      </c>
      <c r="B307" s="3" t="s">
        <v>146</v>
      </c>
      <c r="C307" s="11" t="s">
        <v>237</v>
      </c>
      <c r="D307" s="12">
        <v>7.8599999999999994</v>
      </c>
      <c r="E307" s="1">
        <v>13</v>
      </c>
      <c r="F307" s="13">
        <f>InputData[[#This Row],[QUANTITY]]*InputData[[#This Row],[UNIT PRICE (R)]]</f>
        <v>102.17999999999999</v>
      </c>
      <c r="G307" s="1" t="str">
        <f>VLOOKUP(InputData[[#This Row],[CUSTOMER NAME]],Country[],2,0)</f>
        <v>Saudi Arabia</v>
      </c>
      <c r="H307" s="1" t="str">
        <f>VLOOKUP(InputData[[#This Row],[CUSTOMER NAME]],Country[],3,0)</f>
        <v>Export</v>
      </c>
      <c r="I307" s="1" t="str">
        <f>TEXT(InputData[[#This Row],[DATE]],"mmmm")</f>
        <v>May</v>
      </c>
      <c r="J307" s="1" t="str">
        <f>TEXT(InputData[[#This Row],[DATE]],"ddd")</f>
        <v>Wed</v>
      </c>
      <c r="K307" s="14">
        <f>WEEKNUM(InputData[[#This Row],[DATE]])</f>
        <v>19</v>
      </c>
      <c r="N307"/>
      <c r="R307" s="3" t="s">
        <v>74</v>
      </c>
      <c r="S307" s="1" t="str">
        <f t="shared" si="8"/>
        <v>Millbrook Distribution</v>
      </c>
      <c r="V307"/>
      <c r="Z307" s="11" t="s">
        <v>20</v>
      </c>
      <c r="AA307" s="1" t="str">
        <f t="shared" si="9"/>
        <v>Toggle Bolt M6</v>
      </c>
      <c r="AF307"/>
    </row>
    <row r="308" spans="1:32" x14ac:dyDescent="0.3">
      <c r="A308" s="10">
        <v>44321</v>
      </c>
      <c r="B308" s="3" t="s">
        <v>167</v>
      </c>
      <c r="C308" s="11" t="s">
        <v>260</v>
      </c>
      <c r="D308" s="12">
        <v>117.48</v>
      </c>
      <c r="E308" s="1">
        <v>22</v>
      </c>
      <c r="F308" s="13">
        <f>InputData[[#This Row],[QUANTITY]]*InputData[[#This Row],[UNIT PRICE (R)]]</f>
        <v>2584.56</v>
      </c>
      <c r="G308" s="1" t="str">
        <f>VLOOKUP(InputData[[#This Row],[CUSTOMER NAME]],Country[],2,0)</f>
        <v>Ethiopia</v>
      </c>
      <c r="H308" s="1" t="str">
        <f>VLOOKUP(InputData[[#This Row],[CUSTOMER NAME]],Country[],3,0)</f>
        <v>Export</v>
      </c>
      <c r="I308" s="1" t="str">
        <f>TEXT(InputData[[#This Row],[DATE]],"mmmm")</f>
        <v>May</v>
      </c>
      <c r="J308" s="1" t="str">
        <f>TEXT(InputData[[#This Row],[DATE]],"ddd")</f>
        <v>Wed</v>
      </c>
      <c r="K308" s="14">
        <f>WEEKNUM(InputData[[#This Row],[DATE]])</f>
        <v>19</v>
      </c>
      <c r="N308"/>
      <c r="R308" s="3" t="s">
        <v>51</v>
      </c>
      <c r="S308" s="1" t="str">
        <f t="shared" si="8"/>
        <v>Coastal Fittings Ltd</v>
      </c>
      <c r="V308"/>
      <c r="Z308" s="11" t="s">
        <v>9</v>
      </c>
      <c r="AA308" s="1" t="str">
        <f t="shared" si="9"/>
        <v>Threaded Rod M12</v>
      </c>
      <c r="AF308"/>
    </row>
    <row r="309" spans="1:32" x14ac:dyDescent="0.3">
      <c r="A309" s="10">
        <v>44322</v>
      </c>
      <c r="B309" s="3" t="s">
        <v>175</v>
      </c>
      <c r="C309" s="11" t="s">
        <v>237</v>
      </c>
      <c r="D309" s="12">
        <v>7.8599999999999994</v>
      </c>
      <c r="E309" s="1">
        <v>6</v>
      </c>
      <c r="F309" s="13">
        <f>InputData[[#This Row],[QUANTITY]]*InputData[[#This Row],[UNIT PRICE (R)]]</f>
        <v>47.16</v>
      </c>
      <c r="G309" s="1" t="str">
        <f>VLOOKUP(InputData[[#This Row],[CUSTOMER NAME]],Country[],2,0)</f>
        <v>India</v>
      </c>
      <c r="H309" s="1" t="str">
        <f>VLOOKUP(InputData[[#This Row],[CUSTOMER NAME]],Country[],3,0)</f>
        <v>Western</v>
      </c>
      <c r="I309" s="1" t="str">
        <f>TEXT(InputData[[#This Row],[DATE]],"mmmm")</f>
        <v>May</v>
      </c>
      <c r="J309" s="1" t="str">
        <f>TEXT(InputData[[#This Row],[DATE]],"ddd")</f>
        <v>Thu</v>
      </c>
      <c r="K309" s="14">
        <f>WEEKNUM(InputData[[#This Row],[DATE]])</f>
        <v>19</v>
      </c>
      <c r="N309"/>
      <c r="R309" s="3" t="s">
        <v>72</v>
      </c>
      <c r="S309" s="1" t="str">
        <f t="shared" si="8"/>
        <v>Hendricks Mercantile</v>
      </c>
      <c r="V309"/>
      <c r="Z309" s="11" t="s">
        <v>32</v>
      </c>
      <c r="AA309" s="1" t="str">
        <f t="shared" si="9"/>
        <v>Corner Bracket 50mm</v>
      </c>
      <c r="AF309"/>
    </row>
    <row r="310" spans="1:32" x14ac:dyDescent="0.3">
      <c r="A310" s="10">
        <v>44322</v>
      </c>
      <c r="B310" s="3" t="s">
        <v>175</v>
      </c>
      <c r="C310" s="11" t="s">
        <v>262</v>
      </c>
      <c r="D310" s="12">
        <v>58.3</v>
      </c>
      <c r="E310" s="1">
        <v>7</v>
      </c>
      <c r="F310" s="13">
        <f>InputData[[#This Row],[QUANTITY]]*InputData[[#This Row],[UNIT PRICE (R)]]</f>
        <v>408.09999999999997</v>
      </c>
      <c r="G310" s="1" t="str">
        <f>VLOOKUP(InputData[[#This Row],[CUSTOMER NAME]],Country[],2,0)</f>
        <v>India</v>
      </c>
      <c r="H310" s="1" t="str">
        <f>VLOOKUP(InputData[[#This Row],[CUSTOMER NAME]],Country[],3,0)</f>
        <v>Western</v>
      </c>
      <c r="I310" s="1" t="str">
        <f>TEXT(InputData[[#This Row],[DATE]],"mmmm")</f>
        <v>May</v>
      </c>
      <c r="J310" s="1" t="str">
        <f>TEXT(InputData[[#This Row],[DATE]],"ddd")</f>
        <v>Thu</v>
      </c>
      <c r="K310" s="14">
        <f>WEEKNUM(InputData[[#This Row],[DATE]])</f>
        <v>19</v>
      </c>
      <c r="N310"/>
      <c r="R310" s="3" t="s">
        <v>97</v>
      </c>
      <c r="S310" s="1" t="str">
        <f t="shared" si="8"/>
        <v>Stonebridge Commercial</v>
      </c>
      <c r="V310"/>
      <c r="Z310" s="11" t="s">
        <v>9</v>
      </c>
      <c r="AA310" s="1" t="str">
        <f t="shared" si="9"/>
        <v>Threaded Rod M12</v>
      </c>
      <c r="AF310"/>
    </row>
    <row r="311" spans="1:32" x14ac:dyDescent="0.3">
      <c r="A311" s="10">
        <v>44322</v>
      </c>
      <c r="B311" s="3" t="s">
        <v>168</v>
      </c>
      <c r="C311" s="11" t="s">
        <v>236</v>
      </c>
      <c r="D311" s="12">
        <v>94.62</v>
      </c>
      <c r="E311" s="1">
        <v>15</v>
      </c>
      <c r="F311" s="13">
        <f>InputData[[#This Row],[QUANTITY]]*InputData[[#This Row],[UNIT PRICE (R)]]</f>
        <v>1419.3000000000002</v>
      </c>
      <c r="G311" s="1" t="str">
        <f>VLOOKUP(InputData[[#This Row],[CUSTOMER NAME]],Country[],2,0)</f>
        <v>India</v>
      </c>
      <c r="H311" s="1" t="str">
        <f>VLOOKUP(InputData[[#This Row],[CUSTOMER NAME]],Country[],3,0)</f>
        <v>Northeast</v>
      </c>
      <c r="I311" s="1" t="str">
        <f>TEXT(InputData[[#This Row],[DATE]],"mmmm")</f>
        <v>May</v>
      </c>
      <c r="J311" s="1" t="str">
        <f>TEXT(InputData[[#This Row],[DATE]],"ddd")</f>
        <v>Thu</v>
      </c>
      <c r="K311" s="14">
        <f>WEEKNUM(InputData[[#This Row],[DATE]])</f>
        <v>19</v>
      </c>
      <c r="N311"/>
      <c r="R311" s="3" t="s">
        <v>97</v>
      </c>
      <c r="S311" s="1" t="str">
        <f t="shared" si="8"/>
        <v>Stonebridge Commercial</v>
      </c>
      <c r="V311"/>
      <c r="Z311" s="11" t="s">
        <v>34</v>
      </c>
      <c r="AA311" s="1" t="str">
        <f t="shared" si="9"/>
        <v>L-Bracket 75mm</v>
      </c>
      <c r="AF311"/>
    </row>
    <row r="312" spans="1:32" x14ac:dyDescent="0.3">
      <c r="A312" s="10">
        <v>44323</v>
      </c>
      <c r="B312" s="3" t="s">
        <v>143</v>
      </c>
      <c r="C312" s="11" t="s">
        <v>243</v>
      </c>
      <c r="D312" s="12">
        <v>15.719999999999999</v>
      </c>
      <c r="E312" s="1">
        <v>4</v>
      </c>
      <c r="F312" s="13">
        <f>InputData[[#This Row],[QUANTITY]]*InputData[[#This Row],[UNIT PRICE (R)]]</f>
        <v>62.879999999999995</v>
      </c>
      <c r="G312" s="1" t="str">
        <f>VLOOKUP(InputData[[#This Row],[CUSTOMER NAME]],Country[],2,0)</f>
        <v>Nigeria</v>
      </c>
      <c r="H312" s="1" t="str">
        <f>VLOOKUP(InputData[[#This Row],[CUSTOMER NAME]],Country[],3,0)</f>
        <v>Export</v>
      </c>
      <c r="I312" s="1" t="str">
        <f>TEXT(InputData[[#This Row],[DATE]],"mmmm")</f>
        <v>May</v>
      </c>
      <c r="J312" s="1" t="str">
        <f>TEXT(InputData[[#This Row],[DATE]],"ddd")</f>
        <v>Fri</v>
      </c>
      <c r="K312" s="14">
        <f>WEEKNUM(InputData[[#This Row],[DATE]])</f>
        <v>19</v>
      </c>
      <c r="N312"/>
      <c r="R312" s="3" t="s">
        <v>73</v>
      </c>
      <c r="S312" s="1" t="str">
        <f t="shared" si="8"/>
        <v>Ashworth Trading Group</v>
      </c>
      <c r="V312"/>
      <c r="Z312" s="11" t="s">
        <v>8</v>
      </c>
      <c r="AA312" s="1" t="str">
        <f t="shared" si="9"/>
        <v>Flat Washer M10</v>
      </c>
      <c r="AF312"/>
    </row>
    <row r="313" spans="1:32" x14ac:dyDescent="0.3">
      <c r="A313" s="10">
        <v>44323</v>
      </c>
      <c r="B313" s="3" t="s">
        <v>148</v>
      </c>
      <c r="C313" s="11" t="s">
        <v>246</v>
      </c>
      <c r="D313" s="12">
        <v>49.21</v>
      </c>
      <c r="E313" s="1">
        <v>1</v>
      </c>
      <c r="F313" s="13">
        <f>InputData[[#This Row],[QUANTITY]]*InputData[[#This Row],[UNIT PRICE (R)]]</f>
        <v>49.21</v>
      </c>
      <c r="G313" s="1" t="str">
        <f>VLOOKUP(InputData[[#This Row],[CUSTOMER NAME]],Country[],2,0)</f>
        <v>Pakistan</v>
      </c>
      <c r="H313" s="1" t="str">
        <f>VLOOKUP(InputData[[#This Row],[CUSTOMER NAME]],Country[],3,0)</f>
        <v>Export</v>
      </c>
      <c r="I313" s="1" t="str">
        <f>TEXT(InputData[[#This Row],[DATE]],"mmmm")</f>
        <v>May</v>
      </c>
      <c r="J313" s="1" t="str">
        <f>TEXT(InputData[[#This Row],[DATE]],"ddd")</f>
        <v>Fri</v>
      </c>
      <c r="K313" s="14">
        <f>WEEKNUM(InputData[[#This Row],[DATE]])</f>
        <v>19</v>
      </c>
      <c r="N313"/>
      <c r="R313" s="3" t="s">
        <v>48</v>
      </c>
      <c r="S313" s="1" t="str">
        <f t="shared" si="8"/>
        <v>Thornwell Trading</v>
      </c>
      <c r="V313"/>
      <c r="Z313" s="11" t="s">
        <v>15</v>
      </c>
      <c r="AA313" s="1" t="str">
        <f t="shared" si="9"/>
        <v>Rivet 4mm</v>
      </c>
      <c r="AF313"/>
    </row>
    <row r="314" spans="1:32" x14ac:dyDescent="0.3">
      <c r="A314" s="10">
        <v>44323</v>
      </c>
      <c r="B314" s="3" t="s">
        <v>154</v>
      </c>
      <c r="C314" s="11" t="s">
        <v>255</v>
      </c>
      <c r="D314" s="12">
        <v>57.120000000000005</v>
      </c>
      <c r="E314" s="1">
        <v>1</v>
      </c>
      <c r="F314" s="13">
        <f>InputData[[#This Row],[QUANTITY]]*InputData[[#This Row],[UNIT PRICE (R)]]</f>
        <v>57.120000000000005</v>
      </c>
      <c r="G314" s="1" t="str">
        <f>VLOOKUP(InputData[[#This Row],[CUSTOMER NAME]],Country[],2,0)</f>
        <v>India</v>
      </c>
      <c r="H314" s="1" t="str">
        <f>VLOOKUP(InputData[[#This Row],[CUSTOMER NAME]],Country[],3,0)</f>
        <v>Central</v>
      </c>
      <c r="I314" s="1" t="str">
        <f>TEXT(InputData[[#This Row],[DATE]],"mmmm")</f>
        <v>May</v>
      </c>
      <c r="J314" s="1" t="str">
        <f>TEXT(InputData[[#This Row],[DATE]],"ddd")</f>
        <v>Fri</v>
      </c>
      <c r="K314" s="14">
        <f>WEEKNUM(InputData[[#This Row],[DATE]])</f>
        <v>19</v>
      </c>
      <c r="N314"/>
      <c r="R314" s="3" t="s">
        <v>53</v>
      </c>
      <c r="S314" s="1" t="str">
        <f t="shared" si="8"/>
        <v>Vantage Point Retailers</v>
      </c>
      <c r="V314"/>
      <c r="Z314" s="11" t="s">
        <v>18</v>
      </c>
      <c r="AA314" s="1" t="str">
        <f t="shared" si="9"/>
        <v>Split Pin 5mm</v>
      </c>
      <c r="AF314"/>
    </row>
    <row r="315" spans="1:32" x14ac:dyDescent="0.3">
      <c r="A315" s="10">
        <v>44323</v>
      </c>
      <c r="B315" s="3" t="s">
        <v>163</v>
      </c>
      <c r="C315" s="11" t="s">
        <v>244</v>
      </c>
      <c r="D315" s="12">
        <v>16.64</v>
      </c>
      <c r="E315" s="1">
        <v>39</v>
      </c>
      <c r="F315" s="13">
        <f>InputData[[#This Row],[QUANTITY]]*InputData[[#This Row],[UNIT PRICE (R)]]</f>
        <v>648.96</v>
      </c>
      <c r="G315" s="1" t="str">
        <f>VLOOKUP(InputData[[#This Row],[CUSTOMER NAME]],Country[],2,0)</f>
        <v>South Africa</v>
      </c>
      <c r="H315" s="1" t="str">
        <f>VLOOKUP(InputData[[#This Row],[CUSTOMER NAME]],Country[],3,0)</f>
        <v>Export</v>
      </c>
      <c r="I315" s="1" t="str">
        <f>TEXT(InputData[[#This Row],[DATE]],"mmmm")</f>
        <v>May</v>
      </c>
      <c r="J315" s="1" t="str">
        <f>TEXT(InputData[[#This Row],[DATE]],"ddd")</f>
        <v>Fri</v>
      </c>
      <c r="K315" s="14">
        <f>WEEKNUM(InputData[[#This Row],[DATE]])</f>
        <v>19</v>
      </c>
      <c r="N315"/>
      <c r="R315" s="3" t="s">
        <v>59</v>
      </c>
      <c r="S315" s="1" t="str">
        <f t="shared" si="8"/>
        <v>Bellview Enterprises</v>
      </c>
      <c r="V315"/>
      <c r="Z315" s="11" t="s">
        <v>27</v>
      </c>
      <c r="AA315" s="1" t="str">
        <f t="shared" si="9"/>
        <v>Padlock Hasp 100mm</v>
      </c>
      <c r="AF315"/>
    </row>
    <row r="316" spans="1:32" x14ac:dyDescent="0.3">
      <c r="A316" s="10">
        <v>44323</v>
      </c>
      <c r="B316" s="3" t="s">
        <v>164</v>
      </c>
      <c r="C316" s="11" t="s">
        <v>255</v>
      </c>
      <c r="D316" s="12">
        <v>57.120000000000005</v>
      </c>
      <c r="E316" s="1">
        <v>29</v>
      </c>
      <c r="F316" s="13">
        <f>InputData[[#This Row],[QUANTITY]]*InputData[[#This Row],[UNIT PRICE (R)]]</f>
        <v>1656.48</v>
      </c>
      <c r="G316" s="1" t="str">
        <f>VLOOKUP(InputData[[#This Row],[CUSTOMER NAME]],Country[],2,0)</f>
        <v>India</v>
      </c>
      <c r="H316" s="1" t="str">
        <f>VLOOKUP(InputData[[#This Row],[CUSTOMER NAME]],Country[],3,0)</f>
        <v>East</v>
      </c>
      <c r="I316" s="1" t="str">
        <f>TEXT(InputData[[#This Row],[DATE]],"mmmm")</f>
        <v>May</v>
      </c>
      <c r="J316" s="1" t="str">
        <f>TEXT(InputData[[#This Row],[DATE]],"ddd")</f>
        <v>Fri</v>
      </c>
      <c r="K316" s="14">
        <f>WEEKNUM(InputData[[#This Row],[DATE]])</f>
        <v>19</v>
      </c>
      <c r="N316"/>
      <c r="R316" s="3" t="s">
        <v>68</v>
      </c>
      <c r="S316" s="1" t="str">
        <f t="shared" si="8"/>
        <v>Delacroix Wholesale</v>
      </c>
      <c r="V316"/>
      <c r="Z316" s="11" t="s">
        <v>16</v>
      </c>
      <c r="AA316" s="1" t="str">
        <f t="shared" si="9"/>
        <v>Blind Rivet 6mm</v>
      </c>
      <c r="AF316"/>
    </row>
    <row r="317" spans="1:32" x14ac:dyDescent="0.3">
      <c r="A317" s="10">
        <v>44324</v>
      </c>
      <c r="B317" s="3" t="s">
        <v>175</v>
      </c>
      <c r="C317" s="11" t="s">
        <v>239</v>
      </c>
      <c r="D317" s="12">
        <v>48.4</v>
      </c>
      <c r="E317" s="1">
        <v>19</v>
      </c>
      <c r="F317" s="13">
        <f>InputData[[#This Row],[QUANTITY]]*InputData[[#This Row],[UNIT PRICE (R)]]</f>
        <v>919.6</v>
      </c>
      <c r="G317" s="1" t="str">
        <f>VLOOKUP(InputData[[#This Row],[CUSTOMER NAME]],Country[],2,0)</f>
        <v>India</v>
      </c>
      <c r="H317" s="1" t="str">
        <f>VLOOKUP(InputData[[#This Row],[CUSTOMER NAME]],Country[],3,0)</f>
        <v>Western</v>
      </c>
      <c r="I317" s="1" t="str">
        <f>TEXT(InputData[[#This Row],[DATE]],"mmmm")</f>
        <v>May</v>
      </c>
      <c r="J317" s="1" t="str">
        <f>TEXT(InputData[[#This Row],[DATE]],"ddd")</f>
        <v>Sat</v>
      </c>
      <c r="K317" s="14">
        <f>WEEKNUM(InputData[[#This Row],[DATE]])</f>
        <v>19</v>
      </c>
      <c r="N317"/>
      <c r="R317" s="3" t="s">
        <v>69</v>
      </c>
      <c r="S317" s="1" t="str">
        <f t="shared" si="8"/>
        <v>Southcote Industries</v>
      </c>
      <c r="V317"/>
      <c r="Z317" s="11" t="s">
        <v>27</v>
      </c>
      <c r="AA317" s="1" t="str">
        <f t="shared" si="9"/>
        <v>Padlock Hasp 100mm</v>
      </c>
      <c r="AF317"/>
    </row>
    <row r="318" spans="1:32" x14ac:dyDescent="0.3">
      <c r="A318" s="10">
        <v>44324</v>
      </c>
      <c r="B318" s="3" t="s">
        <v>166</v>
      </c>
      <c r="C318" s="11" t="s">
        <v>250</v>
      </c>
      <c r="D318" s="12">
        <v>141.57</v>
      </c>
      <c r="E318" s="1">
        <v>7</v>
      </c>
      <c r="F318" s="13">
        <f>InputData[[#This Row],[QUANTITY]]*InputData[[#This Row],[UNIT PRICE (R)]]</f>
        <v>990.99</v>
      </c>
      <c r="G318" s="1" t="str">
        <f>VLOOKUP(InputData[[#This Row],[CUSTOMER NAME]],Country[],2,0)</f>
        <v>India</v>
      </c>
      <c r="H318" s="1" t="str">
        <f>VLOOKUP(InputData[[#This Row],[CUSTOMER NAME]],Country[],3,0)</f>
        <v>North</v>
      </c>
      <c r="I318" s="1" t="str">
        <f>TEXT(InputData[[#This Row],[DATE]],"mmmm")</f>
        <v>May</v>
      </c>
      <c r="J318" s="1" t="str">
        <f>TEXT(InputData[[#This Row],[DATE]],"ddd")</f>
        <v>Sat</v>
      </c>
      <c r="K318" s="14">
        <f>WEEKNUM(InputData[[#This Row],[DATE]])</f>
        <v>19</v>
      </c>
      <c r="N318"/>
      <c r="R318" s="3" t="s">
        <v>97</v>
      </c>
      <c r="S318" s="1" t="str">
        <f t="shared" si="8"/>
        <v>Stonebridge Commercial</v>
      </c>
      <c r="V318"/>
      <c r="Z318" s="11" t="s">
        <v>11</v>
      </c>
      <c r="AA318" s="1" t="str">
        <f t="shared" si="9"/>
        <v>Wood Screw 40mm</v>
      </c>
      <c r="AF318"/>
    </row>
    <row r="319" spans="1:32" x14ac:dyDescent="0.3">
      <c r="A319" s="10">
        <v>44325</v>
      </c>
      <c r="B319" s="3" t="s">
        <v>143</v>
      </c>
      <c r="C319" s="11" t="s">
        <v>256</v>
      </c>
      <c r="D319" s="12">
        <v>41.81</v>
      </c>
      <c r="E319" s="1">
        <v>8</v>
      </c>
      <c r="F319" s="13">
        <f>InputData[[#This Row],[QUANTITY]]*InputData[[#This Row],[UNIT PRICE (R)]]</f>
        <v>334.48</v>
      </c>
      <c r="G319" s="1" t="str">
        <f>VLOOKUP(InputData[[#This Row],[CUSTOMER NAME]],Country[],2,0)</f>
        <v>Nigeria</v>
      </c>
      <c r="H319" s="1" t="str">
        <f>VLOOKUP(InputData[[#This Row],[CUSTOMER NAME]],Country[],3,0)</f>
        <v>Export</v>
      </c>
      <c r="I319" s="1" t="str">
        <f>TEXT(InputData[[#This Row],[DATE]],"mmmm")</f>
        <v>May</v>
      </c>
      <c r="J319" s="1" t="str">
        <f>TEXT(InputData[[#This Row],[DATE]],"ddd")</f>
        <v>Sun</v>
      </c>
      <c r="K319" s="14">
        <f>WEEKNUM(InputData[[#This Row],[DATE]])</f>
        <v>20</v>
      </c>
      <c r="N319"/>
      <c r="R319" s="3" t="s">
        <v>71</v>
      </c>
      <c r="S319" s="1" t="str">
        <f t="shared" si="8"/>
        <v>Blackfriars Supply</v>
      </c>
      <c r="V319"/>
      <c r="Z319" s="11" t="s">
        <v>22</v>
      </c>
      <c r="AA319" s="1" t="str">
        <f t="shared" si="9"/>
        <v>Hose Clamp 32mm</v>
      </c>
      <c r="AF319"/>
    </row>
    <row r="320" spans="1:32" x14ac:dyDescent="0.3">
      <c r="A320" s="10">
        <v>44325</v>
      </c>
      <c r="B320" s="3" t="s">
        <v>153</v>
      </c>
      <c r="C320" s="11" t="s">
        <v>244</v>
      </c>
      <c r="D320" s="12">
        <v>16.64</v>
      </c>
      <c r="E320" s="1">
        <v>6</v>
      </c>
      <c r="F320" s="13">
        <f>InputData[[#This Row],[QUANTITY]]*InputData[[#This Row],[UNIT PRICE (R)]]</f>
        <v>99.84</v>
      </c>
      <c r="G320" s="1" t="str">
        <f>VLOOKUP(InputData[[#This Row],[CUSTOMER NAME]],Country[],2,0)</f>
        <v>Mexico</v>
      </c>
      <c r="H320" s="1" t="str">
        <f>VLOOKUP(InputData[[#This Row],[CUSTOMER NAME]],Country[],3,0)</f>
        <v>Export</v>
      </c>
      <c r="I320" s="1" t="str">
        <f>TEXT(InputData[[#This Row],[DATE]],"mmmm")</f>
        <v>May</v>
      </c>
      <c r="J320" s="1" t="str">
        <f>TEXT(InputData[[#This Row],[DATE]],"ddd")</f>
        <v>Sun</v>
      </c>
      <c r="K320" s="14">
        <f>WEEKNUM(InputData[[#This Row],[DATE]])</f>
        <v>20</v>
      </c>
      <c r="N320"/>
      <c r="R320" s="3" t="s">
        <v>48</v>
      </c>
      <c r="S320" s="1" t="str">
        <f t="shared" si="8"/>
        <v>Thornwell Trading</v>
      </c>
      <c r="V320"/>
      <c r="Z320" s="11" t="s">
        <v>28</v>
      </c>
      <c r="AA320" s="1" t="str">
        <f t="shared" si="9"/>
        <v>Cabinet Hinge 75mm</v>
      </c>
      <c r="AF320"/>
    </row>
    <row r="321" spans="1:32" x14ac:dyDescent="0.3">
      <c r="A321" s="10">
        <v>44325</v>
      </c>
      <c r="B321" s="3" t="s">
        <v>154</v>
      </c>
      <c r="C321" s="11" t="s">
        <v>245</v>
      </c>
      <c r="D321" s="12">
        <v>156.78</v>
      </c>
      <c r="E321" s="1">
        <v>12</v>
      </c>
      <c r="F321" s="13">
        <f>InputData[[#This Row],[QUANTITY]]*InputData[[#This Row],[UNIT PRICE (R)]]</f>
        <v>1881.3600000000001</v>
      </c>
      <c r="G321" s="1" t="str">
        <f>VLOOKUP(InputData[[#This Row],[CUSTOMER NAME]],Country[],2,0)</f>
        <v>India</v>
      </c>
      <c r="H321" s="1" t="str">
        <f>VLOOKUP(InputData[[#This Row],[CUSTOMER NAME]],Country[],3,0)</f>
        <v>Central</v>
      </c>
      <c r="I321" s="1" t="str">
        <f>TEXT(InputData[[#This Row],[DATE]],"mmmm")</f>
        <v>May</v>
      </c>
      <c r="J321" s="1" t="str">
        <f>TEXT(InputData[[#This Row],[DATE]],"ddd")</f>
        <v>Sun</v>
      </c>
      <c r="K321" s="14">
        <f>WEEKNUM(InputData[[#This Row],[DATE]])</f>
        <v>20</v>
      </c>
      <c r="N321"/>
      <c r="R321" s="3" t="s">
        <v>58</v>
      </c>
      <c r="S321" s="1" t="str">
        <f t="shared" si="8"/>
        <v>Redwood Mercantile</v>
      </c>
      <c r="V321"/>
      <c r="Z321" s="11" t="s">
        <v>16</v>
      </c>
      <c r="AA321" s="1" t="str">
        <f t="shared" si="9"/>
        <v>Blind Rivet 6mm</v>
      </c>
      <c r="AF321"/>
    </row>
    <row r="322" spans="1:32" x14ac:dyDescent="0.3">
      <c r="A322" s="10">
        <v>44325</v>
      </c>
      <c r="B322" s="3" t="s">
        <v>165</v>
      </c>
      <c r="C322" s="11" t="s">
        <v>252</v>
      </c>
      <c r="D322" s="12">
        <v>156.96</v>
      </c>
      <c r="E322" s="1">
        <v>37</v>
      </c>
      <c r="F322" s="13">
        <f>InputData[[#This Row],[QUANTITY]]*InputData[[#This Row],[UNIT PRICE (R)]]</f>
        <v>5807.52</v>
      </c>
      <c r="G322" s="1" t="str">
        <f>VLOOKUP(InputData[[#This Row],[CUSTOMER NAME]],Country[],2,0)</f>
        <v>India</v>
      </c>
      <c r="H322" s="1" t="str">
        <f>VLOOKUP(InputData[[#This Row],[CUSTOMER NAME]],Country[],3,0)</f>
        <v>Western</v>
      </c>
      <c r="I322" s="1" t="str">
        <f>TEXT(InputData[[#This Row],[DATE]],"mmmm")</f>
        <v>May</v>
      </c>
      <c r="J322" s="1" t="str">
        <f>TEXT(InputData[[#This Row],[DATE]],"ddd")</f>
        <v>Sun</v>
      </c>
      <c r="K322" s="14">
        <f>WEEKNUM(InputData[[#This Row],[DATE]])</f>
        <v>20</v>
      </c>
      <c r="N322"/>
      <c r="R322" s="3" t="s">
        <v>59</v>
      </c>
      <c r="S322" s="1" t="str">
        <f t="shared" si="8"/>
        <v>Bellview Enterprises</v>
      </c>
      <c r="V322"/>
      <c r="Z322" s="11" t="s">
        <v>17</v>
      </c>
      <c r="AA322" s="1" t="str">
        <f t="shared" si="9"/>
        <v>Cotter Pin 3mm</v>
      </c>
      <c r="AF322"/>
    </row>
    <row r="323" spans="1:32" x14ac:dyDescent="0.3">
      <c r="A323" s="10">
        <v>44325</v>
      </c>
      <c r="B323" s="3" t="s">
        <v>171</v>
      </c>
      <c r="C323" s="11" t="s">
        <v>256</v>
      </c>
      <c r="D323" s="12">
        <v>41.81</v>
      </c>
      <c r="E323" s="1">
        <v>4</v>
      </c>
      <c r="F323" s="13">
        <f>InputData[[#This Row],[QUANTITY]]*InputData[[#This Row],[UNIT PRICE (R)]]</f>
        <v>167.24</v>
      </c>
      <c r="G323" s="1" t="str">
        <f>VLOOKUP(InputData[[#This Row],[CUSTOMER NAME]],Country[],2,0)</f>
        <v>India</v>
      </c>
      <c r="H323" s="1" t="str">
        <f>VLOOKUP(InputData[[#This Row],[CUSTOMER NAME]],Country[],3,0)</f>
        <v>South</v>
      </c>
      <c r="I323" s="1" t="str">
        <f>TEXT(InputData[[#This Row],[DATE]],"mmmm")</f>
        <v>May</v>
      </c>
      <c r="J323" s="1" t="str">
        <f>TEXT(InputData[[#This Row],[DATE]],"ddd")</f>
        <v>Sun</v>
      </c>
      <c r="K323" s="14">
        <f>WEEKNUM(InputData[[#This Row],[DATE]])</f>
        <v>20</v>
      </c>
      <c r="N323"/>
      <c r="R323" s="3" t="s">
        <v>70</v>
      </c>
      <c r="S323" s="1" t="str">
        <f t="shared" si="8"/>
        <v>Larkspur Retailers</v>
      </c>
      <c r="V323"/>
      <c r="Z323" s="11" t="s">
        <v>24</v>
      </c>
      <c r="AA323" s="1" t="str">
        <f t="shared" si="9"/>
        <v>Eye Bolt M10</v>
      </c>
      <c r="AF323"/>
    </row>
    <row r="324" spans="1:32" x14ac:dyDescent="0.3">
      <c r="A324" s="10">
        <v>44326</v>
      </c>
      <c r="B324" s="3" t="s">
        <v>175</v>
      </c>
      <c r="C324" s="11" t="s">
        <v>237</v>
      </c>
      <c r="D324" s="12">
        <v>7.8599999999999994</v>
      </c>
      <c r="E324" s="1">
        <v>6</v>
      </c>
      <c r="F324" s="13">
        <f>InputData[[#This Row],[QUANTITY]]*InputData[[#This Row],[UNIT PRICE (R)]]</f>
        <v>47.16</v>
      </c>
      <c r="G324" s="1" t="str">
        <f>VLOOKUP(InputData[[#This Row],[CUSTOMER NAME]],Country[],2,0)</f>
        <v>India</v>
      </c>
      <c r="H324" s="1" t="str">
        <f>VLOOKUP(InputData[[#This Row],[CUSTOMER NAME]],Country[],3,0)</f>
        <v>Western</v>
      </c>
      <c r="I324" s="1" t="str">
        <f>TEXT(InputData[[#This Row],[DATE]],"mmmm")</f>
        <v>May</v>
      </c>
      <c r="J324" s="1" t="str">
        <f>TEXT(InputData[[#This Row],[DATE]],"ddd")</f>
        <v>Mon</v>
      </c>
      <c r="K324" s="14">
        <f>WEEKNUM(InputData[[#This Row],[DATE]])</f>
        <v>20</v>
      </c>
      <c r="N324"/>
      <c r="R324" s="3" t="s">
        <v>76</v>
      </c>
      <c r="S324" s="1" t="str">
        <f t="shared" si="8"/>
        <v>Overton Retail Solutions</v>
      </c>
      <c r="V324"/>
      <c r="Z324" s="11" t="s">
        <v>28</v>
      </c>
      <c r="AA324" s="1" t="str">
        <f t="shared" si="9"/>
        <v>Cabinet Hinge 75mm</v>
      </c>
      <c r="AF324"/>
    </row>
    <row r="325" spans="1:32" x14ac:dyDescent="0.3">
      <c r="A325" s="10">
        <v>44326</v>
      </c>
      <c r="B325" s="3" t="s">
        <v>159</v>
      </c>
      <c r="C325" s="11" t="s">
        <v>254</v>
      </c>
      <c r="D325" s="12">
        <v>24.66</v>
      </c>
      <c r="E325" s="1">
        <v>9</v>
      </c>
      <c r="F325" s="13">
        <f>InputData[[#This Row],[QUANTITY]]*InputData[[#This Row],[UNIT PRICE (R)]]</f>
        <v>221.94</v>
      </c>
      <c r="G325" s="1" t="str">
        <f>VLOOKUP(InputData[[#This Row],[CUSTOMER NAME]],Country[],2,0)</f>
        <v>Saudi Arabia</v>
      </c>
      <c r="H325" s="1" t="str">
        <f>VLOOKUP(InputData[[#This Row],[CUSTOMER NAME]],Country[],3,0)</f>
        <v>Export</v>
      </c>
      <c r="I325" s="1" t="str">
        <f>TEXT(InputData[[#This Row],[DATE]],"mmmm")</f>
        <v>May</v>
      </c>
      <c r="J325" s="1" t="str">
        <f>TEXT(InputData[[#This Row],[DATE]],"ddd")</f>
        <v>Mon</v>
      </c>
      <c r="K325" s="14">
        <f>WEEKNUM(InputData[[#This Row],[DATE]])</f>
        <v>20</v>
      </c>
      <c r="N325"/>
      <c r="R325" s="3" t="s">
        <v>97</v>
      </c>
      <c r="S325" s="1" t="str">
        <f t="shared" si="8"/>
        <v>Stonebridge Commercial</v>
      </c>
      <c r="V325"/>
      <c r="Z325" s="11" t="s">
        <v>9</v>
      </c>
      <c r="AA325" s="1" t="str">
        <f t="shared" si="9"/>
        <v>Threaded Rod M12</v>
      </c>
      <c r="AF325"/>
    </row>
    <row r="326" spans="1:32" x14ac:dyDescent="0.3">
      <c r="A326" s="10">
        <v>44328</v>
      </c>
      <c r="B326" s="3" t="s">
        <v>144</v>
      </c>
      <c r="C326" s="11" t="s">
        <v>264</v>
      </c>
      <c r="D326" s="12">
        <v>96.3</v>
      </c>
      <c r="E326" s="1">
        <v>3</v>
      </c>
      <c r="F326" s="13">
        <f>InputData[[#This Row],[QUANTITY]]*InputData[[#This Row],[UNIT PRICE (R)]]</f>
        <v>288.89999999999998</v>
      </c>
      <c r="G326" s="1" t="str">
        <f>VLOOKUP(InputData[[#This Row],[CUSTOMER NAME]],Country[],2,0)</f>
        <v>Bangladesh</v>
      </c>
      <c r="H326" s="1" t="str">
        <f>VLOOKUP(InputData[[#This Row],[CUSTOMER NAME]],Country[],3,0)</f>
        <v>Export</v>
      </c>
      <c r="I326" s="1" t="str">
        <f>TEXT(InputData[[#This Row],[DATE]],"mmmm")</f>
        <v>May</v>
      </c>
      <c r="J326" s="1" t="str">
        <f>TEXT(InputData[[#This Row],[DATE]],"ddd")</f>
        <v>Wed</v>
      </c>
      <c r="K326" s="14">
        <f>WEEKNUM(InputData[[#This Row],[DATE]])</f>
        <v>20</v>
      </c>
      <c r="N326"/>
      <c r="R326" s="3" t="s">
        <v>64</v>
      </c>
      <c r="S326" s="1" t="str">
        <f t="shared" si="8"/>
        <v>Ridgeway Commercial</v>
      </c>
      <c r="V326"/>
      <c r="Z326" s="11" t="s">
        <v>26</v>
      </c>
      <c r="AA326" s="1" t="str">
        <f t="shared" si="9"/>
        <v>Chain Link 6mm</v>
      </c>
      <c r="AF326"/>
    </row>
    <row r="327" spans="1:32" x14ac:dyDescent="0.3">
      <c r="A327" s="10">
        <v>44328</v>
      </c>
      <c r="B327" s="3" t="s">
        <v>156</v>
      </c>
      <c r="C327" s="11" t="s">
        <v>239</v>
      </c>
      <c r="D327" s="12">
        <v>48.4</v>
      </c>
      <c r="E327" s="1">
        <v>7</v>
      </c>
      <c r="F327" s="13">
        <f>InputData[[#This Row],[QUANTITY]]*InputData[[#This Row],[UNIT PRICE (R)]]</f>
        <v>338.8</v>
      </c>
      <c r="G327" s="1" t="str">
        <f>VLOOKUP(InputData[[#This Row],[CUSTOMER NAME]],Country[],2,0)</f>
        <v>India</v>
      </c>
      <c r="H327" s="1" t="str">
        <f>VLOOKUP(InputData[[#This Row],[CUSTOMER NAME]],Country[],3,0)</f>
        <v>East</v>
      </c>
      <c r="I327" s="1" t="str">
        <f>TEXT(InputData[[#This Row],[DATE]],"mmmm")</f>
        <v>May</v>
      </c>
      <c r="J327" s="1" t="str">
        <f>TEXT(InputData[[#This Row],[DATE]],"ddd")</f>
        <v>Wed</v>
      </c>
      <c r="K327" s="14">
        <f>WEEKNUM(InputData[[#This Row],[DATE]])</f>
        <v>20</v>
      </c>
      <c r="N327"/>
      <c r="R327" s="3" t="s">
        <v>49</v>
      </c>
      <c r="S327" s="1" t="str">
        <f t="shared" ref="S327:S390" si="10">_xlfn.XLOOKUP(R327,$N$5:$N$64,$O$5:$O$64,"Not Found")</f>
        <v>Baxter &amp; Kline Supplies</v>
      </c>
      <c r="V327"/>
      <c r="Z327" s="11" t="s">
        <v>36</v>
      </c>
      <c r="AA327" s="1" t="str">
        <f t="shared" ref="AA327:AA390" si="11">_xlfn.XLOOKUP(Z327,$V$5:$V$48,$W$5:$W$48,"Not Found",0)</f>
        <v>Mending Plate 100mm</v>
      </c>
      <c r="AF327"/>
    </row>
    <row r="328" spans="1:32" x14ac:dyDescent="0.3">
      <c r="A328" s="10">
        <v>44328</v>
      </c>
      <c r="B328" s="3" t="s">
        <v>167</v>
      </c>
      <c r="C328" s="11" t="s">
        <v>238</v>
      </c>
      <c r="D328" s="12">
        <v>164.28</v>
      </c>
      <c r="E328" s="1">
        <v>30</v>
      </c>
      <c r="F328" s="13">
        <f>InputData[[#This Row],[QUANTITY]]*InputData[[#This Row],[UNIT PRICE (R)]]</f>
        <v>4928.3999999999996</v>
      </c>
      <c r="G328" s="1" t="str">
        <f>VLOOKUP(InputData[[#This Row],[CUSTOMER NAME]],Country[],2,0)</f>
        <v>Ethiopia</v>
      </c>
      <c r="H328" s="1" t="str">
        <f>VLOOKUP(InputData[[#This Row],[CUSTOMER NAME]],Country[],3,0)</f>
        <v>Export</v>
      </c>
      <c r="I328" s="1" t="str">
        <f>TEXT(InputData[[#This Row],[DATE]],"mmmm")</f>
        <v>May</v>
      </c>
      <c r="J328" s="1" t="str">
        <f>TEXT(InputData[[#This Row],[DATE]],"ddd")</f>
        <v>Wed</v>
      </c>
      <c r="K328" s="14">
        <f>WEEKNUM(InputData[[#This Row],[DATE]])</f>
        <v>20</v>
      </c>
      <c r="N328"/>
      <c r="R328" s="3" t="s">
        <v>61</v>
      </c>
      <c r="S328" s="1" t="str">
        <f t="shared" si="10"/>
        <v>Fairstone Retail Group</v>
      </c>
      <c r="V328"/>
      <c r="Z328" s="11" t="s">
        <v>11</v>
      </c>
      <c r="AA328" s="1" t="str">
        <f t="shared" si="11"/>
        <v>Wood Screw 40mm</v>
      </c>
      <c r="AF328"/>
    </row>
    <row r="329" spans="1:32" x14ac:dyDescent="0.3">
      <c r="A329" s="10">
        <v>44328</v>
      </c>
      <c r="B329" s="3" t="s">
        <v>168</v>
      </c>
      <c r="C329" s="11" t="s">
        <v>244</v>
      </c>
      <c r="D329" s="12">
        <v>16.64</v>
      </c>
      <c r="E329" s="1">
        <v>3</v>
      </c>
      <c r="F329" s="13">
        <f>InputData[[#This Row],[QUANTITY]]*InputData[[#This Row],[UNIT PRICE (R)]]</f>
        <v>49.92</v>
      </c>
      <c r="G329" s="1" t="str">
        <f>VLOOKUP(InputData[[#This Row],[CUSTOMER NAME]],Country[],2,0)</f>
        <v>India</v>
      </c>
      <c r="H329" s="1" t="str">
        <f>VLOOKUP(InputData[[#This Row],[CUSTOMER NAME]],Country[],3,0)</f>
        <v>Northeast</v>
      </c>
      <c r="I329" s="1" t="str">
        <f>TEXT(InputData[[#This Row],[DATE]],"mmmm")</f>
        <v>May</v>
      </c>
      <c r="J329" s="1" t="str">
        <f>TEXT(InputData[[#This Row],[DATE]],"ddd")</f>
        <v>Wed</v>
      </c>
      <c r="K329" s="14">
        <f>WEEKNUM(InputData[[#This Row],[DATE]])</f>
        <v>20</v>
      </c>
      <c r="N329"/>
      <c r="R329" s="3" t="s">
        <v>72</v>
      </c>
      <c r="S329" s="1" t="str">
        <f t="shared" si="10"/>
        <v>Hendricks Mercantile</v>
      </c>
      <c r="V329"/>
      <c r="Z329" s="11" t="s">
        <v>10</v>
      </c>
      <c r="AA329" s="1" t="str">
        <f t="shared" si="11"/>
        <v>Self-Tapping Screw 25mm</v>
      </c>
      <c r="AF329"/>
    </row>
    <row r="330" spans="1:32" x14ac:dyDescent="0.3">
      <c r="A330" s="10">
        <v>44328</v>
      </c>
      <c r="B330" s="3" t="s">
        <v>171</v>
      </c>
      <c r="C330" s="11" t="s">
        <v>263</v>
      </c>
      <c r="D330" s="12">
        <v>6.7</v>
      </c>
      <c r="E330" s="1">
        <v>15</v>
      </c>
      <c r="F330" s="13">
        <f>InputData[[#This Row],[QUANTITY]]*InputData[[#This Row],[UNIT PRICE (R)]]</f>
        <v>100.5</v>
      </c>
      <c r="G330" s="1" t="str">
        <f>VLOOKUP(InputData[[#This Row],[CUSTOMER NAME]],Country[],2,0)</f>
        <v>India</v>
      </c>
      <c r="H330" s="1" t="str">
        <f>VLOOKUP(InputData[[#This Row],[CUSTOMER NAME]],Country[],3,0)</f>
        <v>South</v>
      </c>
      <c r="I330" s="1" t="str">
        <f>TEXT(InputData[[#This Row],[DATE]],"mmmm")</f>
        <v>May</v>
      </c>
      <c r="J330" s="1" t="str">
        <f>TEXT(InputData[[#This Row],[DATE]],"ddd")</f>
        <v>Wed</v>
      </c>
      <c r="K330" s="14">
        <f>WEEKNUM(InputData[[#This Row],[DATE]])</f>
        <v>20</v>
      </c>
      <c r="N330"/>
      <c r="R330" s="3" t="s">
        <v>73</v>
      </c>
      <c r="S330" s="1" t="str">
        <f t="shared" si="10"/>
        <v>Ashworth Trading Group</v>
      </c>
      <c r="V330"/>
      <c r="Z330" s="11" t="s">
        <v>16</v>
      </c>
      <c r="AA330" s="1" t="str">
        <f t="shared" si="11"/>
        <v>Blind Rivet 6mm</v>
      </c>
      <c r="AF330"/>
    </row>
    <row r="331" spans="1:32" x14ac:dyDescent="0.3">
      <c r="A331" s="10">
        <v>44329</v>
      </c>
      <c r="B331" s="3" t="s">
        <v>153</v>
      </c>
      <c r="C331" s="11" t="s">
        <v>257</v>
      </c>
      <c r="D331" s="12">
        <v>53.11</v>
      </c>
      <c r="E331" s="1">
        <v>4</v>
      </c>
      <c r="F331" s="13">
        <f>InputData[[#This Row],[QUANTITY]]*InputData[[#This Row],[UNIT PRICE (R)]]</f>
        <v>212.44</v>
      </c>
      <c r="G331" s="1" t="str">
        <f>VLOOKUP(InputData[[#This Row],[CUSTOMER NAME]],Country[],2,0)</f>
        <v>Mexico</v>
      </c>
      <c r="H331" s="1" t="str">
        <f>VLOOKUP(InputData[[#This Row],[CUSTOMER NAME]],Country[],3,0)</f>
        <v>Export</v>
      </c>
      <c r="I331" s="1" t="str">
        <f>TEXT(InputData[[#This Row],[DATE]],"mmmm")</f>
        <v>May</v>
      </c>
      <c r="J331" s="1" t="str">
        <f>TEXT(InputData[[#This Row],[DATE]],"ddd")</f>
        <v>Thu</v>
      </c>
      <c r="K331" s="14">
        <f>WEEKNUM(InputData[[#This Row],[DATE]])</f>
        <v>20</v>
      </c>
      <c r="N331"/>
      <c r="R331" s="3" t="s">
        <v>76</v>
      </c>
      <c r="S331" s="1" t="str">
        <f t="shared" si="10"/>
        <v>Overton Retail Solutions</v>
      </c>
      <c r="V331"/>
      <c r="Z331" s="11" t="s">
        <v>35</v>
      </c>
      <c r="AA331" s="1" t="str">
        <f t="shared" si="11"/>
        <v>T-Bracket 100mm</v>
      </c>
      <c r="AF331"/>
    </row>
    <row r="332" spans="1:32" x14ac:dyDescent="0.3">
      <c r="A332" s="10">
        <v>44329</v>
      </c>
      <c r="B332" s="3" t="s">
        <v>169</v>
      </c>
      <c r="C332" s="11" t="s">
        <v>240</v>
      </c>
      <c r="D332" s="12">
        <v>94.17</v>
      </c>
      <c r="E332" s="1">
        <v>5</v>
      </c>
      <c r="F332" s="13">
        <f>InputData[[#This Row],[QUANTITY]]*InputData[[#This Row],[UNIT PRICE (R)]]</f>
        <v>470.85</v>
      </c>
      <c r="G332" s="1" t="str">
        <f>VLOOKUP(InputData[[#This Row],[CUSTOMER NAME]],Country[],2,0)</f>
        <v>India</v>
      </c>
      <c r="H332" s="1" t="str">
        <f>VLOOKUP(InputData[[#This Row],[CUSTOMER NAME]],Country[],3,0)</f>
        <v>South</v>
      </c>
      <c r="I332" s="1" t="str">
        <f>TEXT(InputData[[#This Row],[DATE]],"mmmm")</f>
        <v>May</v>
      </c>
      <c r="J332" s="1" t="str">
        <f>TEXT(InputData[[#This Row],[DATE]],"ddd")</f>
        <v>Thu</v>
      </c>
      <c r="K332" s="14">
        <f>WEEKNUM(InputData[[#This Row],[DATE]])</f>
        <v>20</v>
      </c>
      <c r="N332"/>
      <c r="R332" s="3" t="s">
        <v>58</v>
      </c>
      <c r="S332" s="1" t="str">
        <f t="shared" si="10"/>
        <v>Redwood Mercantile</v>
      </c>
      <c r="V332"/>
      <c r="Z332" s="11" t="s">
        <v>29</v>
      </c>
      <c r="AA332" s="1" t="str">
        <f t="shared" si="11"/>
        <v>Butt Hinge 100mm</v>
      </c>
      <c r="AF332"/>
    </row>
    <row r="333" spans="1:32" x14ac:dyDescent="0.3">
      <c r="A333" s="10">
        <v>44330</v>
      </c>
      <c r="B333" s="3" t="s">
        <v>147</v>
      </c>
      <c r="C333" s="11" t="s">
        <v>268</v>
      </c>
      <c r="D333" s="12">
        <v>115.2</v>
      </c>
      <c r="E333" s="1">
        <v>20</v>
      </c>
      <c r="F333" s="13">
        <f>InputData[[#This Row],[QUANTITY]]*InputData[[#This Row],[UNIT PRICE (R)]]</f>
        <v>2304</v>
      </c>
      <c r="G333" s="1" t="str">
        <f>VLOOKUP(InputData[[#This Row],[CUSTOMER NAME]],Country[],2,0)</f>
        <v>India</v>
      </c>
      <c r="H333" s="1" t="str">
        <f>VLOOKUP(InputData[[#This Row],[CUSTOMER NAME]],Country[],3,0)</f>
        <v>Northeast</v>
      </c>
      <c r="I333" s="1" t="str">
        <f>TEXT(InputData[[#This Row],[DATE]],"mmmm")</f>
        <v>May</v>
      </c>
      <c r="J333" s="1" t="str">
        <f>TEXT(InputData[[#This Row],[DATE]],"ddd")</f>
        <v>Fri</v>
      </c>
      <c r="K333" s="14">
        <f>WEEKNUM(InputData[[#This Row],[DATE]])</f>
        <v>20</v>
      </c>
      <c r="N333"/>
      <c r="R333" s="3" t="s">
        <v>74</v>
      </c>
      <c r="S333" s="1" t="str">
        <f t="shared" si="10"/>
        <v>Millbrook Distribution</v>
      </c>
      <c r="V333"/>
      <c r="Z333" s="11" t="s">
        <v>12</v>
      </c>
      <c r="AA333" s="1" t="str">
        <f t="shared" si="11"/>
        <v>Drywall Screw 30mm</v>
      </c>
      <c r="AF333"/>
    </row>
    <row r="334" spans="1:32" x14ac:dyDescent="0.3">
      <c r="A334" s="10">
        <v>44330</v>
      </c>
      <c r="B334" s="3" t="s">
        <v>158</v>
      </c>
      <c r="C334" s="11" t="s">
        <v>236</v>
      </c>
      <c r="D334" s="12">
        <v>94.62</v>
      </c>
      <c r="E334" s="1">
        <v>14</v>
      </c>
      <c r="F334" s="13">
        <f>InputData[[#This Row],[QUANTITY]]*InputData[[#This Row],[UNIT PRICE (R)]]</f>
        <v>1324.68</v>
      </c>
      <c r="G334" s="1" t="str">
        <f>VLOOKUP(InputData[[#This Row],[CUSTOMER NAME]],Country[],2,0)</f>
        <v>Russia</v>
      </c>
      <c r="H334" s="1" t="str">
        <f>VLOOKUP(InputData[[#This Row],[CUSTOMER NAME]],Country[],3,0)</f>
        <v>Export</v>
      </c>
      <c r="I334" s="1" t="str">
        <f>TEXT(InputData[[#This Row],[DATE]],"mmmm")</f>
        <v>May</v>
      </c>
      <c r="J334" s="1" t="str">
        <f>TEXT(InputData[[#This Row],[DATE]],"ddd")</f>
        <v>Fri</v>
      </c>
      <c r="K334" s="14">
        <f>WEEKNUM(InputData[[#This Row],[DATE]])</f>
        <v>20</v>
      </c>
      <c r="N334"/>
      <c r="R334" s="3" t="s">
        <v>52</v>
      </c>
      <c r="S334" s="1" t="str">
        <f t="shared" si="10"/>
        <v>Harrow Distribution</v>
      </c>
      <c r="V334"/>
      <c r="Z334" s="11" t="s">
        <v>40</v>
      </c>
      <c r="AA334" s="1" t="str">
        <f t="shared" si="11"/>
        <v>Conduit Clamp 25mm</v>
      </c>
      <c r="AF334"/>
    </row>
    <row r="335" spans="1:32" x14ac:dyDescent="0.3">
      <c r="A335" s="10">
        <v>44331</v>
      </c>
      <c r="B335" s="3" t="s">
        <v>148</v>
      </c>
      <c r="C335" s="11" t="s">
        <v>241</v>
      </c>
      <c r="D335" s="12">
        <v>122.08</v>
      </c>
      <c r="E335" s="1">
        <v>6</v>
      </c>
      <c r="F335" s="13">
        <f>InputData[[#This Row],[QUANTITY]]*InputData[[#This Row],[UNIT PRICE (R)]]</f>
        <v>732.48</v>
      </c>
      <c r="G335" s="1" t="str">
        <f>VLOOKUP(InputData[[#This Row],[CUSTOMER NAME]],Country[],2,0)</f>
        <v>Pakistan</v>
      </c>
      <c r="H335" s="1" t="str">
        <f>VLOOKUP(InputData[[#This Row],[CUSTOMER NAME]],Country[],3,0)</f>
        <v>Export</v>
      </c>
      <c r="I335" s="1" t="str">
        <f>TEXT(InputData[[#This Row],[DATE]],"mmmm")</f>
        <v>May</v>
      </c>
      <c r="J335" s="1" t="str">
        <f>TEXT(InputData[[#This Row],[DATE]],"ddd")</f>
        <v>Sat</v>
      </c>
      <c r="K335" s="14">
        <f>WEEKNUM(InputData[[#This Row],[DATE]])</f>
        <v>20</v>
      </c>
      <c r="N335"/>
      <c r="R335" s="3" t="s">
        <v>63</v>
      </c>
      <c r="S335" s="1" t="str">
        <f t="shared" si="10"/>
        <v>Ovenden &amp; Sons</v>
      </c>
      <c r="V335"/>
      <c r="Z335" s="11" t="s">
        <v>8</v>
      </c>
      <c r="AA335" s="1" t="str">
        <f t="shared" si="11"/>
        <v>Flat Washer M10</v>
      </c>
      <c r="AF335"/>
    </row>
    <row r="336" spans="1:32" x14ac:dyDescent="0.3">
      <c r="A336" s="10">
        <v>44331</v>
      </c>
      <c r="B336" s="3" t="s">
        <v>153</v>
      </c>
      <c r="C336" s="11" t="s">
        <v>248</v>
      </c>
      <c r="D336" s="12">
        <v>76.25</v>
      </c>
      <c r="E336" s="1">
        <v>5</v>
      </c>
      <c r="F336" s="13">
        <f>InputData[[#This Row],[QUANTITY]]*InputData[[#This Row],[UNIT PRICE (R)]]</f>
        <v>381.25</v>
      </c>
      <c r="G336" s="1" t="str">
        <f>VLOOKUP(InputData[[#This Row],[CUSTOMER NAME]],Country[],2,0)</f>
        <v>Mexico</v>
      </c>
      <c r="H336" s="1" t="str">
        <f>VLOOKUP(InputData[[#This Row],[CUSTOMER NAME]],Country[],3,0)</f>
        <v>Export</v>
      </c>
      <c r="I336" s="1" t="str">
        <f>TEXT(InputData[[#This Row],[DATE]],"mmmm")</f>
        <v>May</v>
      </c>
      <c r="J336" s="1" t="str">
        <f>TEXT(InputData[[#This Row],[DATE]],"ddd")</f>
        <v>Sat</v>
      </c>
      <c r="K336" s="14">
        <f>WEEKNUM(InputData[[#This Row],[DATE]])</f>
        <v>20</v>
      </c>
      <c r="N336"/>
      <c r="R336" s="3" t="s">
        <v>53</v>
      </c>
      <c r="S336" s="1" t="str">
        <f t="shared" si="10"/>
        <v>Vantage Point Retailers</v>
      </c>
      <c r="V336"/>
      <c r="Z336" s="11" t="s">
        <v>13</v>
      </c>
      <c r="AA336" s="1" t="str">
        <f t="shared" si="11"/>
        <v>Machine Screw M4</v>
      </c>
      <c r="AF336"/>
    </row>
    <row r="337" spans="1:32" x14ac:dyDescent="0.3">
      <c r="A337" s="10">
        <v>44332</v>
      </c>
      <c r="B337" s="3" t="s">
        <v>151</v>
      </c>
      <c r="C337" s="11" t="s">
        <v>238</v>
      </c>
      <c r="D337" s="12">
        <v>164.28</v>
      </c>
      <c r="E337" s="1">
        <v>13</v>
      </c>
      <c r="F337" s="13">
        <f>InputData[[#This Row],[QUANTITY]]*InputData[[#This Row],[UNIT PRICE (R)]]</f>
        <v>2135.64</v>
      </c>
      <c r="G337" s="1" t="str">
        <f>VLOOKUP(InputData[[#This Row],[CUSTOMER NAME]],Country[],2,0)</f>
        <v>Russia</v>
      </c>
      <c r="H337" s="1" t="str">
        <f>VLOOKUP(InputData[[#This Row],[CUSTOMER NAME]],Country[],3,0)</f>
        <v>Export</v>
      </c>
      <c r="I337" s="1" t="str">
        <f>TEXT(InputData[[#This Row],[DATE]],"mmmm")</f>
        <v>May</v>
      </c>
      <c r="J337" s="1" t="str">
        <f>TEXT(InputData[[#This Row],[DATE]],"ddd")</f>
        <v>Sun</v>
      </c>
      <c r="K337" s="14">
        <f>WEEKNUM(InputData[[#This Row],[DATE]])</f>
        <v>21</v>
      </c>
      <c r="N337"/>
      <c r="R337" s="3" t="s">
        <v>58</v>
      </c>
      <c r="S337" s="1" t="str">
        <f t="shared" si="10"/>
        <v>Redwood Mercantile</v>
      </c>
      <c r="V337"/>
      <c r="Z337" s="11" t="s">
        <v>20</v>
      </c>
      <c r="AA337" s="1" t="str">
        <f t="shared" si="11"/>
        <v>Toggle Bolt M6</v>
      </c>
      <c r="AF337"/>
    </row>
    <row r="338" spans="1:32" x14ac:dyDescent="0.3">
      <c r="A338" s="10">
        <v>44332</v>
      </c>
      <c r="B338" s="3" t="s">
        <v>169</v>
      </c>
      <c r="C338" s="11" t="s">
        <v>259</v>
      </c>
      <c r="D338" s="12">
        <v>104.16</v>
      </c>
      <c r="E338" s="1">
        <v>13</v>
      </c>
      <c r="F338" s="13">
        <f>InputData[[#This Row],[QUANTITY]]*InputData[[#This Row],[UNIT PRICE (R)]]</f>
        <v>1354.08</v>
      </c>
      <c r="G338" s="1" t="str">
        <f>VLOOKUP(InputData[[#This Row],[CUSTOMER NAME]],Country[],2,0)</f>
        <v>India</v>
      </c>
      <c r="H338" s="1" t="str">
        <f>VLOOKUP(InputData[[#This Row],[CUSTOMER NAME]],Country[],3,0)</f>
        <v>South</v>
      </c>
      <c r="I338" s="1" t="str">
        <f>TEXT(InputData[[#This Row],[DATE]],"mmmm")</f>
        <v>May</v>
      </c>
      <c r="J338" s="1" t="str">
        <f>TEXT(InputData[[#This Row],[DATE]],"ddd")</f>
        <v>Sun</v>
      </c>
      <c r="K338" s="14">
        <f>WEEKNUM(InputData[[#This Row],[DATE]])</f>
        <v>21</v>
      </c>
      <c r="N338"/>
      <c r="R338" s="3" t="s">
        <v>56</v>
      </c>
      <c r="S338" s="1" t="str">
        <f t="shared" si="10"/>
        <v>Northgate Industries</v>
      </c>
      <c r="V338"/>
      <c r="Z338" s="11" t="s">
        <v>10</v>
      </c>
      <c r="AA338" s="1" t="str">
        <f t="shared" si="11"/>
        <v>Self-Tapping Screw 25mm</v>
      </c>
      <c r="AF338"/>
    </row>
    <row r="339" spans="1:32" x14ac:dyDescent="0.3">
      <c r="A339" s="10">
        <v>44333</v>
      </c>
      <c r="B339" s="3" t="s">
        <v>164</v>
      </c>
      <c r="C339" s="11" t="s">
        <v>260</v>
      </c>
      <c r="D339" s="12">
        <v>117.48</v>
      </c>
      <c r="E339" s="1">
        <v>34</v>
      </c>
      <c r="F339" s="13">
        <f>InputData[[#This Row],[QUANTITY]]*InputData[[#This Row],[UNIT PRICE (R)]]</f>
        <v>3994.32</v>
      </c>
      <c r="G339" s="1" t="str">
        <f>VLOOKUP(InputData[[#This Row],[CUSTOMER NAME]],Country[],2,0)</f>
        <v>India</v>
      </c>
      <c r="H339" s="1" t="str">
        <f>VLOOKUP(InputData[[#This Row],[CUSTOMER NAME]],Country[],3,0)</f>
        <v>East</v>
      </c>
      <c r="I339" s="1" t="str">
        <f>TEXT(InputData[[#This Row],[DATE]],"mmmm")</f>
        <v>May</v>
      </c>
      <c r="J339" s="1" t="str">
        <f>TEXT(InputData[[#This Row],[DATE]],"ddd")</f>
        <v>Mon</v>
      </c>
      <c r="K339" s="14">
        <f>WEEKNUM(InputData[[#This Row],[DATE]])</f>
        <v>21</v>
      </c>
      <c r="N339"/>
      <c r="R339" s="3" t="s">
        <v>74</v>
      </c>
      <c r="S339" s="1" t="str">
        <f t="shared" si="10"/>
        <v>Millbrook Distribution</v>
      </c>
      <c r="V339"/>
      <c r="Z339" s="11" t="s">
        <v>31</v>
      </c>
      <c r="AA339" s="1" t="str">
        <f t="shared" si="11"/>
        <v>Gate Bolt 150mm</v>
      </c>
      <c r="AF339"/>
    </row>
    <row r="340" spans="1:32" x14ac:dyDescent="0.3">
      <c r="A340" s="10">
        <v>44333</v>
      </c>
      <c r="B340" s="3" t="s">
        <v>172</v>
      </c>
      <c r="C340" s="11" t="s">
        <v>255</v>
      </c>
      <c r="D340" s="12">
        <v>57.120000000000005</v>
      </c>
      <c r="E340" s="1">
        <v>8</v>
      </c>
      <c r="F340" s="13">
        <f>InputData[[#This Row],[QUANTITY]]*InputData[[#This Row],[UNIT PRICE (R)]]</f>
        <v>456.96000000000004</v>
      </c>
      <c r="G340" s="1" t="str">
        <f>VLOOKUP(InputData[[#This Row],[CUSTOMER NAME]],Country[],2,0)</f>
        <v>Mexico</v>
      </c>
      <c r="H340" s="1" t="str">
        <f>VLOOKUP(InputData[[#This Row],[CUSTOMER NAME]],Country[],3,0)</f>
        <v>Export</v>
      </c>
      <c r="I340" s="1" t="str">
        <f>TEXT(InputData[[#This Row],[DATE]],"mmmm")</f>
        <v>May</v>
      </c>
      <c r="J340" s="1" t="str">
        <f>TEXT(InputData[[#This Row],[DATE]],"ddd")</f>
        <v>Mon</v>
      </c>
      <c r="K340" s="14">
        <f>WEEKNUM(InputData[[#This Row],[DATE]])</f>
        <v>21</v>
      </c>
      <c r="N340"/>
      <c r="R340" s="3" t="s">
        <v>69</v>
      </c>
      <c r="S340" s="1" t="str">
        <f t="shared" si="10"/>
        <v>Southcote Industries</v>
      </c>
      <c r="V340"/>
      <c r="Z340" s="11" t="s">
        <v>32</v>
      </c>
      <c r="AA340" s="1" t="str">
        <f t="shared" si="11"/>
        <v>Corner Bracket 50mm</v>
      </c>
      <c r="AF340"/>
    </row>
    <row r="341" spans="1:32" x14ac:dyDescent="0.3">
      <c r="A341" s="10">
        <v>44334</v>
      </c>
      <c r="B341" s="3" t="s">
        <v>148</v>
      </c>
      <c r="C341" s="11" t="s">
        <v>255</v>
      </c>
      <c r="D341" s="12">
        <v>57.120000000000005</v>
      </c>
      <c r="E341" s="1">
        <v>4</v>
      </c>
      <c r="F341" s="13">
        <f>InputData[[#This Row],[QUANTITY]]*InputData[[#This Row],[UNIT PRICE (R)]]</f>
        <v>228.48000000000002</v>
      </c>
      <c r="G341" s="1" t="str">
        <f>VLOOKUP(InputData[[#This Row],[CUSTOMER NAME]],Country[],2,0)</f>
        <v>Pakistan</v>
      </c>
      <c r="H341" s="1" t="str">
        <f>VLOOKUP(InputData[[#This Row],[CUSTOMER NAME]],Country[],3,0)</f>
        <v>Export</v>
      </c>
      <c r="I341" s="1" t="str">
        <f>TEXT(InputData[[#This Row],[DATE]],"mmmm")</f>
        <v>May</v>
      </c>
      <c r="J341" s="1" t="str">
        <f>TEXT(InputData[[#This Row],[DATE]],"ddd")</f>
        <v>Tue</v>
      </c>
      <c r="K341" s="14">
        <f>WEEKNUM(InputData[[#This Row],[DATE]])</f>
        <v>21</v>
      </c>
      <c r="N341"/>
      <c r="R341" s="3" t="s">
        <v>77</v>
      </c>
      <c r="S341" s="1" t="str">
        <f t="shared" si="10"/>
        <v>Fenwick Traders</v>
      </c>
      <c r="V341"/>
      <c r="Z341" s="11" t="s">
        <v>27</v>
      </c>
      <c r="AA341" s="1" t="str">
        <f t="shared" si="11"/>
        <v>Padlock Hasp 100mm</v>
      </c>
      <c r="AF341"/>
    </row>
    <row r="342" spans="1:32" x14ac:dyDescent="0.3">
      <c r="A342" s="10">
        <v>44334</v>
      </c>
      <c r="B342" s="3" t="s">
        <v>153</v>
      </c>
      <c r="C342" s="11" t="s">
        <v>266</v>
      </c>
      <c r="D342" s="12">
        <v>79.92</v>
      </c>
      <c r="E342" s="1">
        <v>8</v>
      </c>
      <c r="F342" s="13">
        <f>InputData[[#This Row],[QUANTITY]]*InputData[[#This Row],[UNIT PRICE (R)]]</f>
        <v>639.36</v>
      </c>
      <c r="G342" s="1" t="str">
        <f>VLOOKUP(InputData[[#This Row],[CUSTOMER NAME]],Country[],2,0)</f>
        <v>Mexico</v>
      </c>
      <c r="H342" s="1" t="str">
        <f>VLOOKUP(InputData[[#This Row],[CUSTOMER NAME]],Country[],3,0)</f>
        <v>Export</v>
      </c>
      <c r="I342" s="1" t="str">
        <f>TEXT(InputData[[#This Row],[DATE]],"mmmm")</f>
        <v>May</v>
      </c>
      <c r="J342" s="1" t="str">
        <f>TEXT(InputData[[#This Row],[DATE]],"ddd")</f>
        <v>Tue</v>
      </c>
      <c r="K342" s="14">
        <f>WEEKNUM(InputData[[#This Row],[DATE]])</f>
        <v>21</v>
      </c>
      <c r="N342"/>
      <c r="R342" s="3" t="s">
        <v>53</v>
      </c>
      <c r="S342" s="1" t="str">
        <f t="shared" si="10"/>
        <v>Vantage Point Retailers</v>
      </c>
      <c r="V342"/>
      <c r="Z342" s="11" t="s">
        <v>27</v>
      </c>
      <c r="AA342" s="1" t="str">
        <f t="shared" si="11"/>
        <v>Padlock Hasp 100mm</v>
      </c>
      <c r="AF342"/>
    </row>
    <row r="343" spans="1:32" x14ac:dyDescent="0.3">
      <c r="A343" s="10">
        <v>44334</v>
      </c>
      <c r="B343" s="3" t="s">
        <v>162</v>
      </c>
      <c r="C343" s="11" t="s">
        <v>234</v>
      </c>
      <c r="D343" s="12">
        <v>85.5</v>
      </c>
      <c r="E343" s="1">
        <v>1</v>
      </c>
      <c r="F343" s="13">
        <f>InputData[[#This Row],[QUANTITY]]*InputData[[#This Row],[UNIT PRICE (R)]]</f>
        <v>85.5</v>
      </c>
      <c r="G343" s="1" t="str">
        <f>VLOOKUP(InputData[[#This Row],[CUSTOMER NAME]],Country[],2,0)</f>
        <v>United Kingdom</v>
      </c>
      <c r="H343" s="1" t="str">
        <f>VLOOKUP(InputData[[#This Row],[CUSTOMER NAME]],Country[],3,0)</f>
        <v>Export</v>
      </c>
      <c r="I343" s="1" t="str">
        <f>TEXT(InputData[[#This Row],[DATE]],"mmmm")</f>
        <v>May</v>
      </c>
      <c r="J343" s="1" t="str">
        <f>TEXT(InputData[[#This Row],[DATE]],"ddd")</f>
        <v>Tue</v>
      </c>
      <c r="K343" s="14">
        <f>WEEKNUM(InputData[[#This Row],[DATE]])</f>
        <v>21</v>
      </c>
      <c r="N343"/>
      <c r="R343" s="3" t="s">
        <v>58</v>
      </c>
      <c r="S343" s="1" t="str">
        <f t="shared" si="10"/>
        <v>Redwood Mercantile</v>
      </c>
      <c r="V343"/>
      <c r="Z343" s="11" t="s">
        <v>38</v>
      </c>
      <c r="AA343" s="1" t="str">
        <f t="shared" si="11"/>
        <v>Cable Tie 300mm</v>
      </c>
      <c r="AF343"/>
    </row>
    <row r="344" spans="1:32" x14ac:dyDescent="0.3">
      <c r="A344" s="10">
        <v>44335</v>
      </c>
      <c r="B344" s="3" t="s">
        <v>160</v>
      </c>
      <c r="C344" s="11" t="s">
        <v>267</v>
      </c>
      <c r="D344" s="12">
        <v>42.55</v>
      </c>
      <c r="E344" s="1">
        <v>9</v>
      </c>
      <c r="F344" s="13">
        <f>InputData[[#This Row],[QUANTITY]]*InputData[[#This Row],[UNIT PRICE (R)]]</f>
        <v>382.95</v>
      </c>
      <c r="G344" s="1" t="str">
        <f>VLOOKUP(InputData[[#This Row],[CUSTOMER NAME]],Country[],2,0)</f>
        <v>India</v>
      </c>
      <c r="H344" s="1" t="str">
        <f>VLOOKUP(InputData[[#This Row],[CUSTOMER NAME]],Country[],3,0)</f>
        <v>Western</v>
      </c>
      <c r="I344" s="1" t="str">
        <f>TEXT(InputData[[#This Row],[DATE]],"mmmm")</f>
        <v>May</v>
      </c>
      <c r="J344" s="1" t="str">
        <f>TEXT(InputData[[#This Row],[DATE]],"ddd")</f>
        <v>Wed</v>
      </c>
      <c r="K344" s="14">
        <f>WEEKNUM(InputData[[#This Row],[DATE]])</f>
        <v>21</v>
      </c>
      <c r="N344"/>
      <c r="R344" s="3" t="s">
        <v>67</v>
      </c>
      <c r="S344" s="1" t="str">
        <f t="shared" si="10"/>
        <v>Ironbridge Trading Co.</v>
      </c>
      <c r="V344"/>
      <c r="Z344" s="11" t="s">
        <v>6</v>
      </c>
      <c r="AA344" s="1" t="str">
        <f t="shared" si="11"/>
        <v>Flange Nut M10</v>
      </c>
      <c r="AF344"/>
    </row>
    <row r="345" spans="1:32" x14ac:dyDescent="0.3">
      <c r="A345" s="10">
        <v>44336</v>
      </c>
      <c r="B345" s="3" t="s">
        <v>175</v>
      </c>
      <c r="C345" s="11" t="s">
        <v>241</v>
      </c>
      <c r="D345" s="12">
        <v>122.08</v>
      </c>
      <c r="E345" s="1">
        <v>11</v>
      </c>
      <c r="F345" s="13">
        <f>InputData[[#This Row],[QUANTITY]]*InputData[[#This Row],[UNIT PRICE (R)]]</f>
        <v>1342.8799999999999</v>
      </c>
      <c r="G345" s="1" t="str">
        <f>VLOOKUP(InputData[[#This Row],[CUSTOMER NAME]],Country[],2,0)</f>
        <v>India</v>
      </c>
      <c r="H345" s="1" t="str">
        <f>VLOOKUP(InputData[[#This Row],[CUSTOMER NAME]],Country[],3,0)</f>
        <v>Western</v>
      </c>
      <c r="I345" s="1" t="str">
        <f>TEXT(InputData[[#This Row],[DATE]],"mmmm")</f>
        <v>May</v>
      </c>
      <c r="J345" s="1" t="str">
        <f>TEXT(InputData[[#This Row],[DATE]],"ddd")</f>
        <v>Thu</v>
      </c>
      <c r="K345" s="14">
        <f>WEEKNUM(InputData[[#This Row],[DATE]])</f>
        <v>21</v>
      </c>
      <c r="N345"/>
      <c r="R345" s="3" t="s">
        <v>65</v>
      </c>
      <c r="S345" s="1" t="str">
        <f t="shared" si="10"/>
        <v>Talbot Street Merchants</v>
      </c>
      <c r="V345"/>
      <c r="Z345" s="11" t="s">
        <v>39</v>
      </c>
      <c r="AA345" s="1" t="str">
        <f t="shared" si="11"/>
        <v>Cable Clip 20mm</v>
      </c>
      <c r="AF345"/>
    </row>
    <row r="346" spans="1:32" x14ac:dyDescent="0.3">
      <c r="A346" s="10">
        <v>44336</v>
      </c>
      <c r="B346" s="3" t="s">
        <v>164</v>
      </c>
      <c r="C346" s="11" t="s">
        <v>272</v>
      </c>
      <c r="D346" s="12">
        <v>82.08</v>
      </c>
      <c r="E346" s="1">
        <v>15</v>
      </c>
      <c r="F346" s="13">
        <f>InputData[[#This Row],[QUANTITY]]*InputData[[#This Row],[UNIT PRICE (R)]]</f>
        <v>1231.2</v>
      </c>
      <c r="G346" s="1" t="str">
        <f>VLOOKUP(InputData[[#This Row],[CUSTOMER NAME]],Country[],2,0)</f>
        <v>India</v>
      </c>
      <c r="H346" s="1" t="str">
        <f>VLOOKUP(InputData[[#This Row],[CUSTOMER NAME]],Country[],3,0)</f>
        <v>East</v>
      </c>
      <c r="I346" s="1" t="str">
        <f>TEXT(InputData[[#This Row],[DATE]],"mmmm")</f>
        <v>May</v>
      </c>
      <c r="J346" s="1" t="str">
        <f>TEXT(InputData[[#This Row],[DATE]],"ddd")</f>
        <v>Thu</v>
      </c>
      <c r="K346" s="14">
        <f>WEEKNUM(InputData[[#This Row],[DATE]])</f>
        <v>21</v>
      </c>
      <c r="N346"/>
      <c r="R346" s="3" t="s">
        <v>97</v>
      </c>
      <c r="S346" s="1" t="str">
        <f t="shared" si="10"/>
        <v>Stonebridge Commercial</v>
      </c>
      <c r="V346"/>
      <c r="Z346" s="11" t="s">
        <v>13</v>
      </c>
      <c r="AA346" s="1" t="str">
        <f t="shared" si="11"/>
        <v>Machine Screw M4</v>
      </c>
      <c r="AF346"/>
    </row>
    <row r="347" spans="1:32" x14ac:dyDescent="0.3">
      <c r="A347" s="10">
        <v>44336</v>
      </c>
      <c r="B347" s="3" t="s">
        <v>169</v>
      </c>
      <c r="C347" s="11" t="s">
        <v>270</v>
      </c>
      <c r="D347" s="12">
        <v>162</v>
      </c>
      <c r="E347" s="1">
        <v>2</v>
      </c>
      <c r="F347" s="13">
        <f>InputData[[#This Row],[QUANTITY]]*InputData[[#This Row],[UNIT PRICE (R)]]</f>
        <v>324</v>
      </c>
      <c r="G347" s="1" t="str">
        <f>VLOOKUP(InputData[[#This Row],[CUSTOMER NAME]],Country[],2,0)</f>
        <v>India</v>
      </c>
      <c r="H347" s="1" t="str">
        <f>VLOOKUP(InputData[[#This Row],[CUSTOMER NAME]],Country[],3,0)</f>
        <v>South</v>
      </c>
      <c r="I347" s="1" t="str">
        <f>TEXT(InputData[[#This Row],[DATE]],"mmmm")</f>
        <v>May</v>
      </c>
      <c r="J347" s="1" t="str">
        <f>TEXT(InputData[[#This Row],[DATE]],"ddd")</f>
        <v>Thu</v>
      </c>
      <c r="K347" s="14">
        <f>WEEKNUM(InputData[[#This Row],[DATE]])</f>
        <v>21</v>
      </c>
      <c r="N347"/>
      <c r="R347" s="3" t="s">
        <v>69</v>
      </c>
      <c r="S347" s="1" t="str">
        <f t="shared" si="10"/>
        <v>Southcote Industries</v>
      </c>
      <c r="V347"/>
      <c r="Z347" s="11" t="s">
        <v>44</v>
      </c>
      <c r="AA347" s="1" t="str">
        <f t="shared" si="11"/>
        <v>Brass Elbow Joint 20mm</v>
      </c>
      <c r="AF347"/>
    </row>
    <row r="348" spans="1:32" x14ac:dyDescent="0.3">
      <c r="A348" s="10">
        <v>44337</v>
      </c>
      <c r="B348" s="3" t="s">
        <v>175</v>
      </c>
      <c r="C348" s="11" t="s">
        <v>266</v>
      </c>
      <c r="D348" s="12">
        <v>79.92</v>
      </c>
      <c r="E348" s="1">
        <v>21</v>
      </c>
      <c r="F348" s="13">
        <f>InputData[[#This Row],[QUANTITY]]*InputData[[#This Row],[UNIT PRICE (R)]]</f>
        <v>1678.32</v>
      </c>
      <c r="G348" s="1" t="str">
        <f>VLOOKUP(InputData[[#This Row],[CUSTOMER NAME]],Country[],2,0)</f>
        <v>India</v>
      </c>
      <c r="H348" s="1" t="str">
        <f>VLOOKUP(InputData[[#This Row],[CUSTOMER NAME]],Country[],3,0)</f>
        <v>Western</v>
      </c>
      <c r="I348" s="1" t="str">
        <f>TEXT(InputData[[#This Row],[DATE]],"mmmm")</f>
        <v>May</v>
      </c>
      <c r="J348" s="1" t="str">
        <f>TEXT(InputData[[#This Row],[DATE]],"ddd")</f>
        <v>Fri</v>
      </c>
      <c r="K348" s="14">
        <f>WEEKNUM(InputData[[#This Row],[DATE]])</f>
        <v>21</v>
      </c>
      <c r="N348"/>
      <c r="R348" s="3" t="s">
        <v>74</v>
      </c>
      <c r="S348" s="1" t="str">
        <f t="shared" si="10"/>
        <v>Millbrook Distribution</v>
      </c>
      <c r="V348"/>
      <c r="Z348" s="11" t="s">
        <v>42</v>
      </c>
      <c r="AA348" s="1" t="str">
        <f t="shared" si="11"/>
        <v>PVC Coupling 25mm</v>
      </c>
      <c r="AF348"/>
    </row>
    <row r="349" spans="1:32" x14ac:dyDescent="0.3">
      <c r="A349" s="10">
        <v>44337</v>
      </c>
      <c r="B349" s="3" t="s">
        <v>161</v>
      </c>
      <c r="C349" s="11" t="s">
        <v>263</v>
      </c>
      <c r="D349" s="12">
        <v>6.7</v>
      </c>
      <c r="E349" s="1">
        <v>16</v>
      </c>
      <c r="F349" s="13">
        <f>InputData[[#This Row],[QUANTITY]]*InputData[[#This Row],[UNIT PRICE (R)]]</f>
        <v>107.2</v>
      </c>
      <c r="G349" s="1" t="str">
        <f>VLOOKUP(InputData[[#This Row],[CUSTOMER NAME]],Country[],2,0)</f>
        <v>India</v>
      </c>
      <c r="H349" s="1" t="str">
        <f>VLOOKUP(InputData[[#This Row],[CUSTOMER NAME]],Country[],3,0)</f>
        <v>Central</v>
      </c>
      <c r="I349" s="1" t="str">
        <f>TEXT(InputData[[#This Row],[DATE]],"mmmm")</f>
        <v>May</v>
      </c>
      <c r="J349" s="1" t="str">
        <f>TEXT(InputData[[#This Row],[DATE]],"ddd")</f>
        <v>Fri</v>
      </c>
      <c r="K349" s="14">
        <f>WEEKNUM(InputData[[#This Row],[DATE]])</f>
        <v>21</v>
      </c>
      <c r="N349"/>
      <c r="R349" s="3" t="s">
        <v>97</v>
      </c>
      <c r="S349" s="1" t="str">
        <f t="shared" si="10"/>
        <v>Stonebridge Commercial</v>
      </c>
      <c r="V349"/>
      <c r="Z349" s="11" t="s">
        <v>38</v>
      </c>
      <c r="AA349" s="1" t="str">
        <f t="shared" si="11"/>
        <v>Cable Tie 300mm</v>
      </c>
      <c r="AF349"/>
    </row>
    <row r="350" spans="1:32" x14ac:dyDescent="0.3">
      <c r="A350" s="10">
        <v>44338</v>
      </c>
      <c r="B350" s="3" t="s">
        <v>145</v>
      </c>
      <c r="C350" s="11" t="s">
        <v>243</v>
      </c>
      <c r="D350" s="12">
        <v>15.719999999999999</v>
      </c>
      <c r="E350" s="1">
        <v>12</v>
      </c>
      <c r="F350" s="13">
        <f>InputData[[#This Row],[QUANTITY]]*InputData[[#This Row],[UNIT PRICE (R)]]</f>
        <v>188.64</v>
      </c>
      <c r="G350" s="1" t="str">
        <f>VLOOKUP(InputData[[#This Row],[CUSTOMER NAME]],Country[],2,0)</f>
        <v>India</v>
      </c>
      <c r="H350" s="1" t="str">
        <f>VLOOKUP(InputData[[#This Row],[CUSTOMER NAME]],Country[],3,0)</f>
        <v>Northeast</v>
      </c>
      <c r="I350" s="1" t="str">
        <f>TEXT(InputData[[#This Row],[DATE]],"mmmm")</f>
        <v>May</v>
      </c>
      <c r="J350" s="1" t="str">
        <f>TEXT(InputData[[#This Row],[DATE]],"ddd")</f>
        <v>Sat</v>
      </c>
      <c r="K350" s="14">
        <f>WEEKNUM(InputData[[#This Row],[DATE]])</f>
        <v>21</v>
      </c>
      <c r="N350"/>
      <c r="R350" s="3" t="s">
        <v>66</v>
      </c>
      <c r="S350" s="1" t="str">
        <f t="shared" si="10"/>
        <v>Whitfield Distributors</v>
      </c>
      <c r="V350"/>
      <c r="Z350" s="11" t="s">
        <v>35</v>
      </c>
      <c r="AA350" s="1" t="str">
        <f t="shared" si="11"/>
        <v>T-Bracket 100mm</v>
      </c>
      <c r="AF350"/>
    </row>
    <row r="351" spans="1:32" x14ac:dyDescent="0.3">
      <c r="A351" s="10">
        <v>44338</v>
      </c>
      <c r="B351" s="3" t="s">
        <v>151</v>
      </c>
      <c r="C351" s="11" t="s">
        <v>250</v>
      </c>
      <c r="D351" s="12">
        <v>141.57</v>
      </c>
      <c r="E351" s="1">
        <v>24</v>
      </c>
      <c r="F351" s="13">
        <f>InputData[[#This Row],[QUANTITY]]*InputData[[#This Row],[UNIT PRICE (R)]]</f>
        <v>3397.68</v>
      </c>
      <c r="G351" s="1" t="str">
        <f>VLOOKUP(InputData[[#This Row],[CUSTOMER NAME]],Country[],2,0)</f>
        <v>Russia</v>
      </c>
      <c r="H351" s="1" t="str">
        <f>VLOOKUP(InputData[[#This Row],[CUSTOMER NAME]],Country[],3,0)</f>
        <v>Export</v>
      </c>
      <c r="I351" s="1" t="str">
        <f>TEXT(InputData[[#This Row],[DATE]],"mmmm")</f>
        <v>May</v>
      </c>
      <c r="J351" s="1" t="str">
        <f>TEXT(InputData[[#This Row],[DATE]],"ddd")</f>
        <v>Sat</v>
      </c>
      <c r="K351" s="14">
        <f>WEEKNUM(InputData[[#This Row],[DATE]])</f>
        <v>21</v>
      </c>
      <c r="N351"/>
      <c r="R351" s="3" t="s">
        <v>50</v>
      </c>
      <c r="S351" s="1" t="str">
        <f t="shared" si="10"/>
        <v>Meridian Hardware Co.</v>
      </c>
      <c r="V351"/>
      <c r="Z351" s="11" t="s">
        <v>15</v>
      </c>
      <c r="AA351" s="1" t="str">
        <f t="shared" si="11"/>
        <v>Rivet 4mm</v>
      </c>
      <c r="AF351"/>
    </row>
    <row r="352" spans="1:32" x14ac:dyDescent="0.3">
      <c r="A352" s="10">
        <v>44338</v>
      </c>
      <c r="B352" s="3" t="s">
        <v>161</v>
      </c>
      <c r="C352" s="11" t="s">
        <v>234</v>
      </c>
      <c r="D352" s="12">
        <v>85.5</v>
      </c>
      <c r="E352" s="1">
        <v>19</v>
      </c>
      <c r="F352" s="13">
        <f>InputData[[#This Row],[QUANTITY]]*InputData[[#This Row],[UNIT PRICE (R)]]</f>
        <v>1624.5</v>
      </c>
      <c r="G352" s="1" t="str">
        <f>VLOOKUP(InputData[[#This Row],[CUSTOMER NAME]],Country[],2,0)</f>
        <v>India</v>
      </c>
      <c r="H352" s="1" t="str">
        <f>VLOOKUP(InputData[[#This Row],[CUSTOMER NAME]],Country[],3,0)</f>
        <v>Central</v>
      </c>
      <c r="I352" s="1" t="str">
        <f>TEXT(InputData[[#This Row],[DATE]],"mmmm")</f>
        <v>May</v>
      </c>
      <c r="J352" s="1" t="str">
        <f>TEXT(InputData[[#This Row],[DATE]],"ddd")</f>
        <v>Sat</v>
      </c>
      <c r="K352" s="14">
        <f>WEEKNUM(InputData[[#This Row],[DATE]])</f>
        <v>21</v>
      </c>
      <c r="N352"/>
      <c r="R352" s="3" t="s">
        <v>56</v>
      </c>
      <c r="S352" s="1" t="str">
        <f t="shared" si="10"/>
        <v>Northgate Industries</v>
      </c>
      <c r="V352"/>
      <c r="Z352" s="11" t="s">
        <v>22</v>
      </c>
      <c r="AA352" s="1" t="str">
        <f t="shared" si="11"/>
        <v>Hose Clamp 32mm</v>
      </c>
      <c r="AF352"/>
    </row>
    <row r="353" spans="1:32" x14ac:dyDescent="0.3">
      <c r="A353" s="10">
        <v>44339</v>
      </c>
      <c r="B353" s="3" t="s">
        <v>160</v>
      </c>
      <c r="C353" s="11" t="s">
        <v>268</v>
      </c>
      <c r="D353" s="12">
        <v>115.2</v>
      </c>
      <c r="E353" s="1">
        <v>11</v>
      </c>
      <c r="F353" s="13">
        <f>InputData[[#This Row],[QUANTITY]]*InputData[[#This Row],[UNIT PRICE (R)]]</f>
        <v>1267.2</v>
      </c>
      <c r="G353" s="1" t="str">
        <f>VLOOKUP(InputData[[#This Row],[CUSTOMER NAME]],Country[],2,0)</f>
        <v>India</v>
      </c>
      <c r="H353" s="1" t="str">
        <f>VLOOKUP(InputData[[#This Row],[CUSTOMER NAME]],Country[],3,0)</f>
        <v>Western</v>
      </c>
      <c r="I353" s="1" t="str">
        <f>TEXT(InputData[[#This Row],[DATE]],"mmmm")</f>
        <v>May</v>
      </c>
      <c r="J353" s="1" t="str">
        <f>TEXT(InputData[[#This Row],[DATE]],"ddd")</f>
        <v>Sun</v>
      </c>
      <c r="K353" s="14">
        <f>WEEKNUM(InputData[[#This Row],[DATE]])</f>
        <v>22</v>
      </c>
      <c r="N353"/>
      <c r="R353" s="3" t="s">
        <v>66</v>
      </c>
      <c r="S353" s="1" t="str">
        <f t="shared" si="10"/>
        <v>Whitfield Distributors</v>
      </c>
      <c r="V353"/>
      <c r="Z353" s="11" t="s">
        <v>6</v>
      </c>
      <c r="AA353" s="1" t="str">
        <f t="shared" si="11"/>
        <v>Flange Nut M10</v>
      </c>
      <c r="AF353"/>
    </row>
    <row r="354" spans="1:32" x14ac:dyDescent="0.3">
      <c r="A354" s="10">
        <v>44339</v>
      </c>
      <c r="B354" s="3" t="s">
        <v>170</v>
      </c>
      <c r="C354" s="11" t="s">
        <v>244</v>
      </c>
      <c r="D354" s="12">
        <v>16.64</v>
      </c>
      <c r="E354" s="1">
        <v>27</v>
      </c>
      <c r="F354" s="13">
        <f>InputData[[#This Row],[QUANTITY]]*InputData[[#This Row],[UNIT PRICE (R)]]</f>
        <v>449.28000000000003</v>
      </c>
      <c r="G354" s="1" t="str">
        <f>VLOOKUP(InputData[[#This Row],[CUSTOMER NAME]],Country[],2,0)</f>
        <v>France</v>
      </c>
      <c r="H354" s="1" t="str">
        <f>VLOOKUP(InputData[[#This Row],[CUSTOMER NAME]],Country[],3,0)</f>
        <v>Export</v>
      </c>
      <c r="I354" s="1" t="str">
        <f>TEXT(InputData[[#This Row],[DATE]],"mmmm")</f>
        <v>May</v>
      </c>
      <c r="J354" s="1" t="str">
        <f>TEXT(InputData[[#This Row],[DATE]],"ddd")</f>
        <v>Sun</v>
      </c>
      <c r="K354" s="14">
        <f>WEEKNUM(InputData[[#This Row],[DATE]])</f>
        <v>22</v>
      </c>
      <c r="N354"/>
      <c r="R354" s="3" t="s">
        <v>65</v>
      </c>
      <c r="S354" s="1" t="str">
        <f t="shared" si="10"/>
        <v>Talbot Street Merchants</v>
      </c>
      <c r="V354"/>
      <c r="Z354" s="11" t="s">
        <v>40</v>
      </c>
      <c r="AA354" s="1" t="str">
        <f t="shared" si="11"/>
        <v>Conduit Clamp 25mm</v>
      </c>
      <c r="AF354"/>
    </row>
    <row r="355" spans="1:32" x14ac:dyDescent="0.3">
      <c r="A355" s="10">
        <v>44340</v>
      </c>
      <c r="B355" s="3" t="s">
        <v>177</v>
      </c>
      <c r="C355" s="11" t="s">
        <v>254</v>
      </c>
      <c r="D355" s="12">
        <v>24.66</v>
      </c>
      <c r="E355" s="1">
        <v>21</v>
      </c>
      <c r="F355" s="13">
        <f>InputData[[#This Row],[QUANTITY]]*InputData[[#This Row],[UNIT PRICE (R)]]</f>
        <v>517.86</v>
      </c>
      <c r="G355" s="1" t="str">
        <f>VLOOKUP(InputData[[#This Row],[CUSTOMER NAME]],Country[],2,0)</f>
        <v>India</v>
      </c>
      <c r="H355" s="1" t="str">
        <f>VLOOKUP(InputData[[#This Row],[CUSTOMER NAME]],Country[],3,0)</f>
        <v>North</v>
      </c>
      <c r="I355" s="1" t="str">
        <f>TEXT(InputData[[#This Row],[DATE]],"mmmm")</f>
        <v>May</v>
      </c>
      <c r="J355" s="1" t="str">
        <f>TEXT(InputData[[#This Row],[DATE]],"ddd")</f>
        <v>Mon</v>
      </c>
      <c r="K355" s="14">
        <f>WEEKNUM(InputData[[#This Row],[DATE]])</f>
        <v>22</v>
      </c>
      <c r="N355"/>
      <c r="R355" s="3" t="s">
        <v>75</v>
      </c>
      <c r="S355" s="1" t="str">
        <f t="shared" si="10"/>
        <v>Cranfield &amp; Co.</v>
      </c>
      <c r="V355"/>
      <c r="Z355" s="11" t="s">
        <v>16</v>
      </c>
      <c r="AA355" s="1" t="str">
        <f t="shared" si="11"/>
        <v>Blind Rivet 6mm</v>
      </c>
      <c r="AF355"/>
    </row>
    <row r="356" spans="1:32" x14ac:dyDescent="0.3">
      <c r="A356" s="10">
        <v>44341</v>
      </c>
      <c r="B356" s="3" t="s">
        <v>162</v>
      </c>
      <c r="C356" s="11" t="s">
        <v>230</v>
      </c>
      <c r="D356" s="12">
        <v>142.80000000000001</v>
      </c>
      <c r="E356" s="1">
        <v>7</v>
      </c>
      <c r="F356" s="13">
        <f>InputData[[#This Row],[QUANTITY]]*InputData[[#This Row],[UNIT PRICE (R)]]</f>
        <v>999.60000000000014</v>
      </c>
      <c r="G356" s="1" t="str">
        <f>VLOOKUP(InputData[[#This Row],[CUSTOMER NAME]],Country[],2,0)</f>
        <v>United Kingdom</v>
      </c>
      <c r="H356" s="1" t="str">
        <f>VLOOKUP(InputData[[#This Row],[CUSTOMER NAME]],Country[],3,0)</f>
        <v>Export</v>
      </c>
      <c r="I356" s="1" t="str">
        <f>TEXT(InputData[[#This Row],[DATE]],"mmmm")</f>
        <v>May</v>
      </c>
      <c r="J356" s="1" t="str">
        <f>TEXT(InputData[[#This Row],[DATE]],"ddd")</f>
        <v>Tue</v>
      </c>
      <c r="K356" s="14">
        <f>WEEKNUM(InputData[[#This Row],[DATE]])</f>
        <v>22</v>
      </c>
      <c r="N356"/>
      <c r="R356" s="3" t="s">
        <v>99</v>
      </c>
      <c r="S356" s="1" t="str">
        <f t="shared" si="10"/>
        <v>Northfield Traders</v>
      </c>
      <c r="V356"/>
      <c r="Z356" s="11" t="s">
        <v>26</v>
      </c>
      <c r="AA356" s="1" t="str">
        <f t="shared" si="11"/>
        <v>Chain Link 6mm</v>
      </c>
      <c r="AF356"/>
    </row>
    <row r="357" spans="1:32" x14ac:dyDescent="0.3">
      <c r="A357" s="10">
        <v>44341</v>
      </c>
      <c r="B357" s="3" t="s">
        <v>172</v>
      </c>
      <c r="C357" s="11" t="s">
        <v>246</v>
      </c>
      <c r="D357" s="12">
        <v>49.21</v>
      </c>
      <c r="E357" s="1">
        <v>37</v>
      </c>
      <c r="F357" s="13">
        <f>InputData[[#This Row],[QUANTITY]]*InputData[[#This Row],[UNIT PRICE (R)]]</f>
        <v>1820.77</v>
      </c>
      <c r="G357" s="1" t="str">
        <f>VLOOKUP(InputData[[#This Row],[CUSTOMER NAME]],Country[],2,0)</f>
        <v>Mexico</v>
      </c>
      <c r="H357" s="1" t="str">
        <f>VLOOKUP(InputData[[#This Row],[CUSTOMER NAME]],Country[],3,0)</f>
        <v>Export</v>
      </c>
      <c r="I357" s="1" t="str">
        <f>TEXT(InputData[[#This Row],[DATE]],"mmmm")</f>
        <v>May</v>
      </c>
      <c r="J357" s="1" t="str">
        <f>TEXT(InputData[[#This Row],[DATE]],"ddd")</f>
        <v>Tue</v>
      </c>
      <c r="K357" s="14">
        <f>WEEKNUM(InputData[[#This Row],[DATE]])</f>
        <v>22</v>
      </c>
      <c r="N357"/>
      <c r="R357" s="3" t="s">
        <v>67</v>
      </c>
      <c r="S357" s="1" t="str">
        <f t="shared" si="10"/>
        <v>Ironbridge Trading Co.</v>
      </c>
      <c r="V357"/>
      <c r="Z357" s="11" t="s">
        <v>2</v>
      </c>
      <c r="AA357" s="1" t="str">
        <f t="shared" si="11"/>
        <v>Hex Bolt M10</v>
      </c>
      <c r="AF357"/>
    </row>
    <row r="358" spans="1:32" x14ac:dyDescent="0.3">
      <c r="A358" s="10">
        <v>44342</v>
      </c>
      <c r="B358" s="3" t="s">
        <v>145</v>
      </c>
      <c r="C358" s="11" t="s">
        <v>255</v>
      </c>
      <c r="D358" s="12">
        <v>57.120000000000005</v>
      </c>
      <c r="E358" s="1">
        <v>2</v>
      </c>
      <c r="F358" s="13">
        <f>InputData[[#This Row],[QUANTITY]]*InputData[[#This Row],[UNIT PRICE (R)]]</f>
        <v>114.24000000000001</v>
      </c>
      <c r="G358" s="1" t="str">
        <f>VLOOKUP(InputData[[#This Row],[CUSTOMER NAME]],Country[],2,0)</f>
        <v>India</v>
      </c>
      <c r="H358" s="1" t="str">
        <f>VLOOKUP(InputData[[#This Row],[CUSTOMER NAME]],Country[],3,0)</f>
        <v>Northeast</v>
      </c>
      <c r="I358" s="1" t="str">
        <f>TEXT(InputData[[#This Row],[DATE]],"mmmm")</f>
        <v>May</v>
      </c>
      <c r="J358" s="1" t="str">
        <f>TEXT(InputData[[#This Row],[DATE]],"ddd")</f>
        <v>Wed</v>
      </c>
      <c r="K358" s="14">
        <f>WEEKNUM(InputData[[#This Row],[DATE]])</f>
        <v>22</v>
      </c>
      <c r="N358"/>
      <c r="R358" s="3" t="s">
        <v>77</v>
      </c>
      <c r="S358" s="1" t="str">
        <f t="shared" si="10"/>
        <v>Fenwick Traders</v>
      </c>
      <c r="V358"/>
      <c r="Z358" s="11" t="s">
        <v>18</v>
      </c>
      <c r="AA358" s="1" t="str">
        <f t="shared" si="11"/>
        <v>Split Pin 5mm</v>
      </c>
      <c r="AF358"/>
    </row>
    <row r="359" spans="1:32" x14ac:dyDescent="0.3">
      <c r="A359" s="10">
        <v>44342</v>
      </c>
      <c r="B359" s="3" t="s">
        <v>147</v>
      </c>
      <c r="C359" s="11" t="s">
        <v>256</v>
      </c>
      <c r="D359" s="12">
        <v>41.81</v>
      </c>
      <c r="E359" s="1">
        <v>2</v>
      </c>
      <c r="F359" s="13">
        <f>InputData[[#This Row],[QUANTITY]]*InputData[[#This Row],[UNIT PRICE (R)]]</f>
        <v>83.62</v>
      </c>
      <c r="G359" s="1" t="str">
        <f>VLOOKUP(InputData[[#This Row],[CUSTOMER NAME]],Country[],2,0)</f>
        <v>India</v>
      </c>
      <c r="H359" s="1" t="str">
        <f>VLOOKUP(InputData[[#This Row],[CUSTOMER NAME]],Country[],3,0)</f>
        <v>Northeast</v>
      </c>
      <c r="I359" s="1" t="str">
        <f>TEXT(InputData[[#This Row],[DATE]],"mmmm")</f>
        <v>May</v>
      </c>
      <c r="J359" s="1" t="str">
        <f>TEXT(InputData[[#This Row],[DATE]],"ddd")</f>
        <v>Wed</v>
      </c>
      <c r="K359" s="14">
        <f>WEEKNUM(InputData[[#This Row],[DATE]])</f>
        <v>22</v>
      </c>
      <c r="N359"/>
      <c r="R359" s="3" t="s">
        <v>50</v>
      </c>
      <c r="S359" s="1" t="str">
        <f t="shared" si="10"/>
        <v>Meridian Hardware Co.</v>
      </c>
      <c r="V359"/>
      <c r="Z359" s="11" t="s">
        <v>27</v>
      </c>
      <c r="AA359" s="1" t="str">
        <f t="shared" si="11"/>
        <v>Padlock Hasp 100mm</v>
      </c>
      <c r="AF359"/>
    </row>
    <row r="360" spans="1:32" x14ac:dyDescent="0.3">
      <c r="A360" s="10">
        <v>44342</v>
      </c>
      <c r="B360" s="3" t="s">
        <v>156</v>
      </c>
      <c r="C360" s="11" t="s">
        <v>234</v>
      </c>
      <c r="D360" s="12">
        <v>85.5</v>
      </c>
      <c r="E360" s="1">
        <v>1</v>
      </c>
      <c r="F360" s="13">
        <f>InputData[[#This Row],[QUANTITY]]*InputData[[#This Row],[UNIT PRICE (R)]]</f>
        <v>85.5</v>
      </c>
      <c r="G360" s="1" t="str">
        <f>VLOOKUP(InputData[[#This Row],[CUSTOMER NAME]],Country[],2,0)</f>
        <v>India</v>
      </c>
      <c r="H360" s="1" t="str">
        <f>VLOOKUP(InputData[[#This Row],[CUSTOMER NAME]],Country[],3,0)</f>
        <v>East</v>
      </c>
      <c r="I360" s="1" t="str">
        <f>TEXT(InputData[[#This Row],[DATE]],"mmmm")</f>
        <v>May</v>
      </c>
      <c r="J360" s="1" t="str">
        <f>TEXT(InputData[[#This Row],[DATE]],"ddd")</f>
        <v>Wed</v>
      </c>
      <c r="K360" s="14">
        <f>WEEKNUM(InputData[[#This Row],[DATE]])</f>
        <v>22</v>
      </c>
      <c r="N360"/>
      <c r="R360" s="3" t="s">
        <v>52</v>
      </c>
      <c r="S360" s="1" t="str">
        <f t="shared" si="10"/>
        <v>Harrow Distribution</v>
      </c>
      <c r="V360"/>
      <c r="Z360" s="11" t="s">
        <v>28</v>
      </c>
      <c r="AA360" s="1" t="str">
        <f t="shared" si="11"/>
        <v>Cabinet Hinge 75mm</v>
      </c>
      <c r="AF360"/>
    </row>
    <row r="361" spans="1:32" x14ac:dyDescent="0.3">
      <c r="A361" s="10">
        <v>44344</v>
      </c>
      <c r="B361" s="3" t="s">
        <v>145</v>
      </c>
      <c r="C361" s="11" t="s">
        <v>248</v>
      </c>
      <c r="D361" s="12">
        <v>76.25</v>
      </c>
      <c r="E361" s="1">
        <v>14</v>
      </c>
      <c r="F361" s="13">
        <f>InputData[[#This Row],[QUANTITY]]*InputData[[#This Row],[UNIT PRICE (R)]]</f>
        <v>1067.5</v>
      </c>
      <c r="G361" s="1" t="str">
        <f>VLOOKUP(InputData[[#This Row],[CUSTOMER NAME]],Country[],2,0)</f>
        <v>India</v>
      </c>
      <c r="H361" s="1" t="str">
        <f>VLOOKUP(InputData[[#This Row],[CUSTOMER NAME]],Country[],3,0)</f>
        <v>Northeast</v>
      </c>
      <c r="I361" s="1" t="str">
        <f>TEXT(InputData[[#This Row],[DATE]],"mmmm")</f>
        <v>May</v>
      </c>
      <c r="J361" s="1" t="str">
        <f>TEXT(InputData[[#This Row],[DATE]],"ddd")</f>
        <v>Fri</v>
      </c>
      <c r="K361" s="14">
        <f>WEEKNUM(InputData[[#This Row],[DATE]])</f>
        <v>22</v>
      </c>
      <c r="N361"/>
      <c r="R361" s="3" t="s">
        <v>61</v>
      </c>
      <c r="S361" s="1" t="str">
        <f t="shared" si="10"/>
        <v>Fairstone Retail Group</v>
      </c>
      <c r="V361"/>
      <c r="Z361" s="11" t="s">
        <v>6</v>
      </c>
      <c r="AA361" s="1" t="str">
        <f t="shared" si="11"/>
        <v>Flange Nut M10</v>
      </c>
      <c r="AF361"/>
    </row>
    <row r="362" spans="1:32" x14ac:dyDescent="0.3">
      <c r="A362" s="10">
        <v>44344</v>
      </c>
      <c r="B362" s="3" t="s">
        <v>150</v>
      </c>
      <c r="C362" s="11" t="s">
        <v>257</v>
      </c>
      <c r="D362" s="12">
        <v>53.11</v>
      </c>
      <c r="E362" s="1">
        <v>4</v>
      </c>
      <c r="F362" s="13">
        <f>InputData[[#This Row],[QUANTITY]]*InputData[[#This Row],[UNIT PRICE (R)]]</f>
        <v>212.44</v>
      </c>
      <c r="G362" s="1" t="str">
        <f>VLOOKUP(InputData[[#This Row],[CUSTOMER NAME]],Country[],2,0)</f>
        <v>United Kingdom</v>
      </c>
      <c r="H362" s="1" t="str">
        <f>VLOOKUP(InputData[[#This Row],[CUSTOMER NAME]],Country[],3,0)</f>
        <v>Export</v>
      </c>
      <c r="I362" s="1" t="str">
        <f>TEXT(InputData[[#This Row],[DATE]],"mmmm")</f>
        <v>May</v>
      </c>
      <c r="J362" s="1" t="str">
        <f>TEXT(InputData[[#This Row],[DATE]],"ddd")</f>
        <v>Fri</v>
      </c>
      <c r="K362" s="14">
        <f>WEEKNUM(InputData[[#This Row],[DATE]])</f>
        <v>22</v>
      </c>
      <c r="N362"/>
      <c r="R362" s="3" t="s">
        <v>50</v>
      </c>
      <c r="S362" s="1" t="str">
        <f t="shared" si="10"/>
        <v>Meridian Hardware Co.</v>
      </c>
      <c r="V362"/>
      <c r="Z362" s="11" t="s">
        <v>20</v>
      </c>
      <c r="AA362" s="1" t="str">
        <f t="shared" si="11"/>
        <v>Toggle Bolt M6</v>
      </c>
      <c r="AF362"/>
    </row>
    <row r="363" spans="1:32" x14ac:dyDescent="0.3">
      <c r="A363" s="10">
        <v>44344</v>
      </c>
      <c r="B363" s="3" t="s">
        <v>150</v>
      </c>
      <c r="C363" s="11" t="s">
        <v>238</v>
      </c>
      <c r="D363" s="12">
        <v>164.28</v>
      </c>
      <c r="E363" s="1">
        <v>9</v>
      </c>
      <c r="F363" s="13">
        <f>InputData[[#This Row],[QUANTITY]]*InputData[[#This Row],[UNIT PRICE (R)]]</f>
        <v>1478.52</v>
      </c>
      <c r="G363" s="1" t="str">
        <f>VLOOKUP(InputData[[#This Row],[CUSTOMER NAME]],Country[],2,0)</f>
        <v>United Kingdom</v>
      </c>
      <c r="H363" s="1" t="str">
        <f>VLOOKUP(InputData[[#This Row],[CUSTOMER NAME]],Country[],3,0)</f>
        <v>Export</v>
      </c>
      <c r="I363" s="1" t="str">
        <f>TEXT(InputData[[#This Row],[DATE]],"mmmm")</f>
        <v>May</v>
      </c>
      <c r="J363" s="1" t="str">
        <f>TEXT(InputData[[#This Row],[DATE]],"ddd")</f>
        <v>Fri</v>
      </c>
      <c r="K363" s="14">
        <f>WEEKNUM(InputData[[#This Row],[DATE]])</f>
        <v>22</v>
      </c>
      <c r="N363"/>
      <c r="R363" s="3" t="s">
        <v>55</v>
      </c>
      <c r="S363" s="1" t="str">
        <f t="shared" si="10"/>
        <v>Silverline Wholesalers</v>
      </c>
      <c r="V363"/>
      <c r="Z363" s="11" t="s">
        <v>29</v>
      </c>
      <c r="AA363" s="1" t="str">
        <f t="shared" si="11"/>
        <v>Butt Hinge 100mm</v>
      </c>
      <c r="AF363"/>
    </row>
    <row r="364" spans="1:32" x14ac:dyDescent="0.3">
      <c r="A364" s="10">
        <v>44344</v>
      </c>
      <c r="B364" s="3" t="s">
        <v>151</v>
      </c>
      <c r="C364" s="11" t="s">
        <v>232</v>
      </c>
      <c r="D364" s="12">
        <v>48.84</v>
      </c>
      <c r="E364" s="1">
        <v>12</v>
      </c>
      <c r="F364" s="13">
        <f>InputData[[#This Row],[QUANTITY]]*InputData[[#This Row],[UNIT PRICE (R)]]</f>
        <v>586.08000000000004</v>
      </c>
      <c r="G364" s="1" t="str">
        <f>VLOOKUP(InputData[[#This Row],[CUSTOMER NAME]],Country[],2,0)</f>
        <v>Russia</v>
      </c>
      <c r="H364" s="1" t="str">
        <f>VLOOKUP(InputData[[#This Row],[CUSTOMER NAME]],Country[],3,0)</f>
        <v>Export</v>
      </c>
      <c r="I364" s="1" t="str">
        <f>TEXT(InputData[[#This Row],[DATE]],"mmmm")</f>
        <v>May</v>
      </c>
      <c r="J364" s="1" t="str">
        <f>TEXT(InputData[[#This Row],[DATE]],"ddd")</f>
        <v>Fri</v>
      </c>
      <c r="K364" s="14">
        <f>WEEKNUM(InputData[[#This Row],[DATE]])</f>
        <v>22</v>
      </c>
      <c r="N364"/>
      <c r="R364" s="3" t="s">
        <v>55</v>
      </c>
      <c r="S364" s="1" t="str">
        <f t="shared" si="10"/>
        <v>Silverline Wholesalers</v>
      </c>
      <c r="V364"/>
      <c r="Z364" s="11" t="s">
        <v>10</v>
      </c>
      <c r="AA364" s="1" t="str">
        <f t="shared" si="11"/>
        <v>Self-Tapping Screw 25mm</v>
      </c>
      <c r="AF364"/>
    </row>
    <row r="365" spans="1:32" x14ac:dyDescent="0.3">
      <c r="A365" s="10">
        <v>44344</v>
      </c>
      <c r="B365" s="3" t="s">
        <v>169</v>
      </c>
      <c r="C365" s="11" t="s">
        <v>236</v>
      </c>
      <c r="D365" s="12">
        <v>94.62</v>
      </c>
      <c r="E365" s="1">
        <v>5</v>
      </c>
      <c r="F365" s="13">
        <f>InputData[[#This Row],[QUANTITY]]*InputData[[#This Row],[UNIT PRICE (R)]]</f>
        <v>473.1</v>
      </c>
      <c r="G365" s="1" t="str">
        <f>VLOOKUP(InputData[[#This Row],[CUSTOMER NAME]],Country[],2,0)</f>
        <v>India</v>
      </c>
      <c r="H365" s="1" t="str">
        <f>VLOOKUP(InputData[[#This Row],[CUSTOMER NAME]],Country[],3,0)</f>
        <v>South</v>
      </c>
      <c r="I365" s="1" t="str">
        <f>TEXT(InputData[[#This Row],[DATE]],"mmmm")</f>
        <v>May</v>
      </c>
      <c r="J365" s="1" t="str">
        <f>TEXT(InputData[[#This Row],[DATE]],"ddd")</f>
        <v>Fri</v>
      </c>
      <c r="K365" s="14">
        <f>WEEKNUM(InputData[[#This Row],[DATE]])</f>
        <v>22</v>
      </c>
      <c r="N365"/>
      <c r="R365" s="3" t="s">
        <v>56</v>
      </c>
      <c r="S365" s="1" t="str">
        <f t="shared" si="10"/>
        <v>Northgate Industries</v>
      </c>
      <c r="V365"/>
      <c r="Z365" s="11" t="s">
        <v>4</v>
      </c>
      <c r="AA365" s="1" t="str">
        <f t="shared" si="11"/>
        <v>Carriage Bolt M8</v>
      </c>
      <c r="AF365"/>
    </row>
    <row r="366" spans="1:32" x14ac:dyDescent="0.3">
      <c r="A366" s="10">
        <v>44344</v>
      </c>
      <c r="B366" s="3" t="s">
        <v>172</v>
      </c>
      <c r="C366" s="11" t="s">
        <v>269</v>
      </c>
      <c r="D366" s="12">
        <v>173.88</v>
      </c>
      <c r="E366" s="1">
        <v>10</v>
      </c>
      <c r="F366" s="13">
        <f>InputData[[#This Row],[QUANTITY]]*InputData[[#This Row],[UNIT PRICE (R)]]</f>
        <v>1738.8</v>
      </c>
      <c r="G366" s="1" t="str">
        <f>VLOOKUP(InputData[[#This Row],[CUSTOMER NAME]],Country[],2,0)</f>
        <v>Mexico</v>
      </c>
      <c r="H366" s="1" t="str">
        <f>VLOOKUP(InputData[[#This Row],[CUSTOMER NAME]],Country[],3,0)</f>
        <v>Export</v>
      </c>
      <c r="I366" s="1" t="str">
        <f>TEXT(InputData[[#This Row],[DATE]],"mmmm")</f>
        <v>May</v>
      </c>
      <c r="J366" s="1" t="str">
        <f>TEXT(InputData[[#This Row],[DATE]],"ddd")</f>
        <v>Fri</v>
      </c>
      <c r="K366" s="14">
        <f>WEEKNUM(InputData[[#This Row],[DATE]])</f>
        <v>22</v>
      </c>
      <c r="N366"/>
      <c r="R366" s="3" t="s">
        <v>74</v>
      </c>
      <c r="S366" s="1" t="str">
        <f t="shared" si="10"/>
        <v>Millbrook Distribution</v>
      </c>
      <c r="V366"/>
      <c r="Z366" s="11" t="s">
        <v>8</v>
      </c>
      <c r="AA366" s="1" t="str">
        <f t="shared" si="11"/>
        <v>Flat Washer M10</v>
      </c>
      <c r="AF366"/>
    </row>
    <row r="367" spans="1:32" x14ac:dyDescent="0.3">
      <c r="A367" s="10">
        <v>44344</v>
      </c>
      <c r="B367" s="3" t="s">
        <v>172</v>
      </c>
      <c r="C367" s="11" t="s">
        <v>267</v>
      </c>
      <c r="D367" s="12">
        <v>42.55</v>
      </c>
      <c r="E367" s="1">
        <v>17</v>
      </c>
      <c r="F367" s="13">
        <f>InputData[[#This Row],[QUANTITY]]*InputData[[#This Row],[UNIT PRICE (R)]]</f>
        <v>723.34999999999991</v>
      </c>
      <c r="G367" s="1" t="str">
        <f>VLOOKUP(InputData[[#This Row],[CUSTOMER NAME]],Country[],2,0)</f>
        <v>Mexico</v>
      </c>
      <c r="H367" s="1" t="str">
        <f>VLOOKUP(InputData[[#This Row],[CUSTOMER NAME]],Country[],3,0)</f>
        <v>Export</v>
      </c>
      <c r="I367" s="1" t="str">
        <f>TEXT(InputData[[#This Row],[DATE]],"mmmm")</f>
        <v>May</v>
      </c>
      <c r="J367" s="1" t="str">
        <f>TEXT(InputData[[#This Row],[DATE]],"ddd")</f>
        <v>Fri</v>
      </c>
      <c r="K367" s="14">
        <f>WEEKNUM(InputData[[#This Row],[DATE]])</f>
        <v>22</v>
      </c>
      <c r="N367"/>
      <c r="R367" s="3" t="s">
        <v>77</v>
      </c>
      <c r="S367" s="1" t="str">
        <f t="shared" si="10"/>
        <v>Fenwick Traders</v>
      </c>
      <c r="V367"/>
      <c r="Z367" s="11" t="s">
        <v>41</v>
      </c>
      <c r="AA367" s="1" t="str">
        <f t="shared" si="11"/>
        <v>PVC Elbow 20mm</v>
      </c>
      <c r="AF367"/>
    </row>
    <row r="368" spans="1:32" x14ac:dyDescent="0.3">
      <c r="A368" s="10">
        <v>44346</v>
      </c>
      <c r="B368" s="3" t="s">
        <v>148</v>
      </c>
      <c r="C368" s="11" t="s">
        <v>233</v>
      </c>
      <c r="D368" s="12">
        <v>155.61000000000001</v>
      </c>
      <c r="E368" s="1">
        <v>4</v>
      </c>
      <c r="F368" s="13">
        <f>InputData[[#This Row],[QUANTITY]]*InputData[[#This Row],[UNIT PRICE (R)]]</f>
        <v>622.44000000000005</v>
      </c>
      <c r="G368" s="1" t="str">
        <f>VLOOKUP(InputData[[#This Row],[CUSTOMER NAME]],Country[],2,0)</f>
        <v>Pakistan</v>
      </c>
      <c r="H368" s="1" t="str">
        <f>VLOOKUP(InputData[[#This Row],[CUSTOMER NAME]],Country[],3,0)</f>
        <v>Export</v>
      </c>
      <c r="I368" s="1" t="str">
        <f>TEXT(InputData[[#This Row],[DATE]],"mmmm")</f>
        <v>May</v>
      </c>
      <c r="J368" s="1" t="str">
        <f>TEXT(InputData[[#This Row],[DATE]],"ddd")</f>
        <v>Sun</v>
      </c>
      <c r="K368" s="14">
        <f>WEEKNUM(InputData[[#This Row],[DATE]])</f>
        <v>23</v>
      </c>
      <c r="N368"/>
      <c r="R368" s="3" t="s">
        <v>77</v>
      </c>
      <c r="S368" s="1" t="str">
        <f t="shared" si="10"/>
        <v>Fenwick Traders</v>
      </c>
      <c r="V368"/>
      <c r="Z368" s="11" t="s">
        <v>39</v>
      </c>
      <c r="AA368" s="1" t="str">
        <f t="shared" si="11"/>
        <v>Cable Clip 20mm</v>
      </c>
      <c r="AF368"/>
    </row>
    <row r="369" spans="1:32" x14ac:dyDescent="0.3">
      <c r="A369" s="10">
        <v>44346</v>
      </c>
      <c r="B369" s="3" t="s">
        <v>177</v>
      </c>
      <c r="C369" s="11" t="s">
        <v>251</v>
      </c>
      <c r="D369" s="12">
        <v>149.46</v>
      </c>
      <c r="E369" s="1">
        <v>13</v>
      </c>
      <c r="F369" s="13">
        <f>InputData[[#This Row],[QUANTITY]]*InputData[[#This Row],[UNIT PRICE (R)]]</f>
        <v>1942.98</v>
      </c>
      <c r="G369" s="1" t="str">
        <f>VLOOKUP(InputData[[#This Row],[CUSTOMER NAME]],Country[],2,0)</f>
        <v>India</v>
      </c>
      <c r="H369" s="1" t="str">
        <f>VLOOKUP(InputData[[#This Row],[CUSTOMER NAME]],Country[],3,0)</f>
        <v>North</v>
      </c>
      <c r="I369" s="1" t="str">
        <f>TEXT(InputData[[#This Row],[DATE]],"mmmm")</f>
        <v>May</v>
      </c>
      <c r="J369" s="1" t="str">
        <f>TEXT(InputData[[#This Row],[DATE]],"ddd")</f>
        <v>Sun</v>
      </c>
      <c r="K369" s="14">
        <f>WEEKNUM(InputData[[#This Row],[DATE]])</f>
        <v>23</v>
      </c>
      <c r="N369"/>
      <c r="R369" s="3" t="s">
        <v>53</v>
      </c>
      <c r="S369" s="1" t="str">
        <f t="shared" si="10"/>
        <v>Vantage Point Retailers</v>
      </c>
      <c r="V369"/>
      <c r="Z369" s="11" t="s">
        <v>5</v>
      </c>
      <c r="AA369" s="1" t="str">
        <f t="shared" si="11"/>
        <v>Wing Nut M6</v>
      </c>
      <c r="AF369"/>
    </row>
    <row r="370" spans="1:32" x14ac:dyDescent="0.3">
      <c r="A370" s="10">
        <v>44346</v>
      </c>
      <c r="B370" s="3" t="s">
        <v>162</v>
      </c>
      <c r="C370" s="11" t="s">
        <v>232</v>
      </c>
      <c r="D370" s="12">
        <v>48.84</v>
      </c>
      <c r="E370" s="1">
        <v>23</v>
      </c>
      <c r="F370" s="13">
        <f>InputData[[#This Row],[QUANTITY]]*InputData[[#This Row],[UNIT PRICE (R)]]</f>
        <v>1123.3200000000002</v>
      </c>
      <c r="G370" s="1" t="str">
        <f>VLOOKUP(InputData[[#This Row],[CUSTOMER NAME]],Country[],2,0)</f>
        <v>United Kingdom</v>
      </c>
      <c r="H370" s="1" t="str">
        <f>VLOOKUP(InputData[[#This Row],[CUSTOMER NAME]],Country[],3,0)</f>
        <v>Export</v>
      </c>
      <c r="I370" s="1" t="str">
        <f>TEXT(InputData[[#This Row],[DATE]],"mmmm")</f>
        <v>May</v>
      </c>
      <c r="J370" s="1" t="str">
        <f>TEXT(InputData[[#This Row],[DATE]],"ddd")</f>
        <v>Sun</v>
      </c>
      <c r="K370" s="14">
        <f>WEEKNUM(InputData[[#This Row],[DATE]])</f>
        <v>23</v>
      </c>
      <c r="N370"/>
      <c r="R370" s="3" t="s">
        <v>99</v>
      </c>
      <c r="S370" s="1" t="str">
        <f t="shared" si="10"/>
        <v>Northfield Traders</v>
      </c>
      <c r="V370"/>
      <c r="Z370" s="11" t="s">
        <v>23</v>
      </c>
      <c r="AA370" s="1" t="str">
        <f t="shared" si="11"/>
        <v>U-Bolt M8</v>
      </c>
      <c r="AF370"/>
    </row>
    <row r="371" spans="1:32" x14ac:dyDescent="0.3">
      <c r="A371" s="10">
        <v>44346</v>
      </c>
      <c r="B371" s="3" t="s">
        <v>164</v>
      </c>
      <c r="C371" s="11" t="s">
        <v>241</v>
      </c>
      <c r="D371" s="12">
        <v>122.08</v>
      </c>
      <c r="E371" s="1">
        <v>6</v>
      </c>
      <c r="F371" s="13">
        <f>InputData[[#This Row],[QUANTITY]]*InputData[[#This Row],[UNIT PRICE (R)]]</f>
        <v>732.48</v>
      </c>
      <c r="G371" s="1" t="str">
        <f>VLOOKUP(InputData[[#This Row],[CUSTOMER NAME]],Country[],2,0)</f>
        <v>India</v>
      </c>
      <c r="H371" s="1" t="str">
        <f>VLOOKUP(InputData[[#This Row],[CUSTOMER NAME]],Country[],3,0)</f>
        <v>East</v>
      </c>
      <c r="I371" s="1" t="str">
        <f>TEXT(InputData[[#This Row],[DATE]],"mmmm")</f>
        <v>May</v>
      </c>
      <c r="J371" s="1" t="str">
        <f>TEXT(InputData[[#This Row],[DATE]],"ddd")</f>
        <v>Sun</v>
      </c>
      <c r="K371" s="14">
        <f>WEEKNUM(InputData[[#This Row],[DATE]])</f>
        <v>23</v>
      </c>
      <c r="N371"/>
      <c r="R371" s="3" t="s">
        <v>67</v>
      </c>
      <c r="S371" s="1" t="str">
        <f t="shared" si="10"/>
        <v>Ironbridge Trading Co.</v>
      </c>
      <c r="V371"/>
      <c r="Z371" s="11" t="s">
        <v>4</v>
      </c>
      <c r="AA371" s="1" t="str">
        <f t="shared" si="11"/>
        <v>Carriage Bolt M8</v>
      </c>
      <c r="AF371"/>
    </row>
    <row r="372" spans="1:32" x14ac:dyDescent="0.3">
      <c r="A372" s="10">
        <v>44346</v>
      </c>
      <c r="B372" s="3" t="s">
        <v>169</v>
      </c>
      <c r="C372" s="11" t="s">
        <v>272</v>
      </c>
      <c r="D372" s="12">
        <v>82.08</v>
      </c>
      <c r="E372" s="1">
        <v>9</v>
      </c>
      <c r="F372" s="13">
        <f>InputData[[#This Row],[QUANTITY]]*InputData[[#This Row],[UNIT PRICE (R)]]</f>
        <v>738.72</v>
      </c>
      <c r="G372" s="1" t="str">
        <f>VLOOKUP(InputData[[#This Row],[CUSTOMER NAME]],Country[],2,0)</f>
        <v>India</v>
      </c>
      <c r="H372" s="1" t="str">
        <f>VLOOKUP(InputData[[#This Row],[CUSTOMER NAME]],Country[],3,0)</f>
        <v>South</v>
      </c>
      <c r="I372" s="1" t="str">
        <f>TEXT(InputData[[#This Row],[DATE]],"mmmm")</f>
        <v>May</v>
      </c>
      <c r="J372" s="1" t="str">
        <f>TEXT(InputData[[#This Row],[DATE]],"ddd")</f>
        <v>Sun</v>
      </c>
      <c r="K372" s="14">
        <f>WEEKNUM(InputData[[#This Row],[DATE]])</f>
        <v>23</v>
      </c>
      <c r="N372"/>
      <c r="R372" s="3" t="s">
        <v>69</v>
      </c>
      <c r="S372" s="1" t="str">
        <f t="shared" si="10"/>
        <v>Southcote Industries</v>
      </c>
      <c r="V372"/>
      <c r="Z372" s="11" t="s">
        <v>13</v>
      </c>
      <c r="AA372" s="1" t="str">
        <f t="shared" si="11"/>
        <v>Machine Screw M4</v>
      </c>
      <c r="AF372"/>
    </row>
    <row r="373" spans="1:32" x14ac:dyDescent="0.3">
      <c r="A373" s="10">
        <v>44346</v>
      </c>
      <c r="B373" s="3" t="s">
        <v>170</v>
      </c>
      <c r="C373" s="11" t="s">
        <v>261</v>
      </c>
      <c r="D373" s="12">
        <v>119.7</v>
      </c>
      <c r="E373" s="1">
        <v>3</v>
      </c>
      <c r="F373" s="13">
        <f>InputData[[#This Row],[QUANTITY]]*InputData[[#This Row],[UNIT PRICE (R)]]</f>
        <v>359.1</v>
      </c>
      <c r="G373" s="1" t="str">
        <f>VLOOKUP(InputData[[#This Row],[CUSTOMER NAME]],Country[],2,0)</f>
        <v>France</v>
      </c>
      <c r="H373" s="1" t="str">
        <f>VLOOKUP(InputData[[#This Row],[CUSTOMER NAME]],Country[],3,0)</f>
        <v>Export</v>
      </c>
      <c r="I373" s="1" t="str">
        <f>TEXT(InputData[[#This Row],[DATE]],"mmmm")</f>
        <v>May</v>
      </c>
      <c r="J373" s="1" t="str">
        <f>TEXT(InputData[[#This Row],[DATE]],"ddd")</f>
        <v>Sun</v>
      </c>
      <c r="K373" s="14">
        <f>WEEKNUM(InputData[[#This Row],[DATE]])</f>
        <v>23</v>
      </c>
      <c r="N373"/>
      <c r="R373" s="3" t="s">
        <v>74</v>
      </c>
      <c r="S373" s="1" t="str">
        <f t="shared" si="10"/>
        <v>Millbrook Distribution</v>
      </c>
      <c r="V373"/>
      <c r="Z373" s="11" t="s">
        <v>44</v>
      </c>
      <c r="AA373" s="1" t="str">
        <f t="shared" si="11"/>
        <v>Brass Elbow Joint 20mm</v>
      </c>
      <c r="AF373"/>
    </row>
    <row r="374" spans="1:32" x14ac:dyDescent="0.3">
      <c r="A374" s="10">
        <v>44349</v>
      </c>
      <c r="B374" s="3" t="s">
        <v>147</v>
      </c>
      <c r="C374" s="11" t="s">
        <v>255</v>
      </c>
      <c r="D374" s="12">
        <v>57.120000000000005</v>
      </c>
      <c r="E374" s="1">
        <v>15</v>
      </c>
      <c r="F374" s="13">
        <f>InputData[[#This Row],[QUANTITY]]*InputData[[#This Row],[UNIT PRICE (R)]]</f>
        <v>856.80000000000007</v>
      </c>
      <c r="G374" s="1" t="str">
        <f>VLOOKUP(InputData[[#This Row],[CUSTOMER NAME]],Country[],2,0)</f>
        <v>India</v>
      </c>
      <c r="H374" s="1" t="str">
        <f>VLOOKUP(InputData[[#This Row],[CUSTOMER NAME]],Country[],3,0)</f>
        <v>Northeast</v>
      </c>
      <c r="I374" s="1" t="str">
        <f>TEXT(InputData[[#This Row],[DATE]],"mmmm")</f>
        <v>June</v>
      </c>
      <c r="J374" s="1" t="str">
        <f>TEXT(InputData[[#This Row],[DATE]],"ddd")</f>
        <v>Wed</v>
      </c>
      <c r="K374" s="14">
        <f>WEEKNUM(InputData[[#This Row],[DATE]])</f>
        <v>23</v>
      </c>
      <c r="N374"/>
      <c r="R374" s="3" t="s">
        <v>75</v>
      </c>
      <c r="S374" s="1" t="str">
        <f t="shared" si="10"/>
        <v>Cranfield &amp; Co.</v>
      </c>
      <c r="V374"/>
      <c r="Z374" s="11" t="s">
        <v>33</v>
      </c>
      <c r="AA374" s="1" t="str">
        <f t="shared" si="11"/>
        <v>Shelf Bracket 200mm</v>
      </c>
      <c r="AF374"/>
    </row>
    <row r="375" spans="1:32" x14ac:dyDescent="0.3">
      <c r="A375" s="10">
        <v>44350</v>
      </c>
      <c r="B375" s="3" t="s">
        <v>150</v>
      </c>
      <c r="C375" s="11" t="s">
        <v>267</v>
      </c>
      <c r="D375" s="12">
        <v>42.55</v>
      </c>
      <c r="E375" s="1">
        <v>32</v>
      </c>
      <c r="F375" s="13">
        <f>InputData[[#This Row],[QUANTITY]]*InputData[[#This Row],[UNIT PRICE (R)]]</f>
        <v>1361.6</v>
      </c>
      <c r="G375" s="1" t="str">
        <f>VLOOKUP(InputData[[#This Row],[CUSTOMER NAME]],Country[],2,0)</f>
        <v>United Kingdom</v>
      </c>
      <c r="H375" s="1" t="str">
        <f>VLOOKUP(InputData[[#This Row],[CUSTOMER NAME]],Country[],3,0)</f>
        <v>Export</v>
      </c>
      <c r="I375" s="1" t="str">
        <f>TEXT(InputData[[#This Row],[DATE]],"mmmm")</f>
        <v>June</v>
      </c>
      <c r="J375" s="1" t="str">
        <f>TEXT(InputData[[#This Row],[DATE]],"ddd")</f>
        <v>Thu</v>
      </c>
      <c r="K375" s="14">
        <f>WEEKNUM(InputData[[#This Row],[DATE]])</f>
        <v>23</v>
      </c>
      <c r="N375"/>
      <c r="R375" s="3" t="s">
        <v>52</v>
      </c>
      <c r="S375" s="1" t="str">
        <f t="shared" si="10"/>
        <v>Harrow Distribution</v>
      </c>
      <c r="V375"/>
      <c r="Z375" s="11" t="s">
        <v>27</v>
      </c>
      <c r="AA375" s="1" t="str">
        <f t="shared" si="11"/>
        <v>Padlock Hasp 100mm</v>
      </c>
      <c r="AF375"/>
    </row>
    <row r="376" spans="1:32" x14ac:dyDescent="0.3">
      <c r="A376" s="10">
        <v>44350</v>
      </c>
      <c r="B376" s="3" t="s">
        <v>157</v>
      </c>
      <c r="C376" s="11" t="s">
        <v>236</v>
      </c>
      <c r="D376" s="12">
        <v>94.62</v>
      </c>
      <c r="E376" s="1">
        <v>14</v>
      </c>
      <c r="F376" s="13">
        <f>InputData[[#This Row],[QUANTITY]]*InputData[[#This Row],[UNIT PRICE (R)]]</f>
        <v>1324.68</v>
      </c>
      <c r="G376" s="1" t="str">
        <f>VLOOKUP(InputData[[#This Row],[CUSTOMER NAME]],Country[],2,0)</f>
        <v>Brazil</v>
      </c>
      <c r="H376" s="1" t="str">
        <f>VLOOKUP(InputData[[#This Row],[CUSTOMER NAME]],Country[],3,0)</f>
        <v>Export</v>
      </c>
      <c r="I376" s="1" t="str">
        <f>TEXT(InputData[[#This Row],[DATE]],"mmmm")</f>
        <v>June</v>
      </c>
      <c r="J376" s="1" t="str">
        <f>TEXT(InputData[[#This Row],[DATE]],"ddd")</f>
        <v>Thu</v>
      </c>
      <c r="K376" s="14">
        <f>WEEKNUM(InputData[[#This Row],[DATE]])</f>
        <v>23</v>
      </c>
      <c r="N376"/>
      <c r="R376" s="3" t="s">
        <v>55</v>
      </c>
      <c r="S376" s="1" t="str">
        <f t="shared" si="10"/>
        <v>Silverline Wholesalers</v>
      </c>
      <c r="V376"/>
      <c r="Z376" s="11" t="s">
        <v>39</v>
      </c>
      <c r="AA376" s="1" t="str">
        <f t="shared" si="11"/>
        <v>Cable Clip 20mm</v>
      </c>
      <c r="AF376"/>
    </row>
    <row r="377" spans="1:32" x14ac:dyDescent="0.3">
      <c r="A377" s="10">
        <v>44350</v>
      </c>
      <c r="B377" s="3" t="s">
        <v>162</v>
      </c>
      <c r="C377" s="11" t="s">
        <v>249</v>
      </c>
      <c r="D377" s="12">
        <v>162.54</v>
      </c>
      <c r="E377" s="1">
        <v>10</v>
      </c>
      <c r="F377" s="13">
        <f>InputData[[#This Row],[QUANTITY]]*InputData[[#This Row],[UNIT PRICE (R)]]</f>
        <v>1625.3999999999999</v>
      </c>
      <c r="G377" s="1" t="str">
        <f>VLOOKUP(InputData[[#This Row],[CUSTOMER NAME]],Country[],2,0)</f>
        <v>United Kingdom</v>
      </c>
      <c r="H377" s="1" t="str">
        <f>VLOOKUP(InputData[[#This Row],[CUSTOMER NAME]],Country[],3,0)</f>
        <v>Export</v>
      </c>
      <c r="I377" s="1" t="str">
        <f>TEXT(InputData[[#This Row],[DATE]],"mmmm")</f>
        <v>June</v>
      </c>
      <c r="J377" s="1" t="str">
        <f>TEXT(InputData[[#This Row],[DATE]],"ddd")</f>
        <v>Thu</v>
      </c>
      <c r="K377" s="14">
        <f>WEEKNUM(InputData[[#This Row],[DATE]])</f>
        <v>23</v>
      </c>
      <c r="N377"/>
      <c r="R377" s="3" t="s">
        <v>62</v>
      </c>
      <c r="S377" s="1" t="str">
        <f t="shared" si="10"/>
        <v>Marchbank Traders</v>
      </c>
      <c r="V377"/>
      <c r="Z377" s="11" t="s">
        <v>8</v>
      </c>
      <c r="AA377" s="1" t="str">
        <f t="shared" si="11"/>
        <v>Flat Washer M10</v>
      </c>
      <c r="AF377"/>
    </row>
    <row r="378" spans="1:32" x14ac:dyDescent="0.3">
      <c r="A378" s="10">
        <v>44351</v>
      </c>
      <c r="B378" s="3" t="s">
        <v>148</v>
      </c>
      <c r="C378" s="11" t="s">
        <v>248</v>
      </c>
      <c r="D378" s="12">
        <v>76.25</v>
      </c>
      <c r="E378" s="1">
        <v>8</v>
      </c>
      <c r="F378" s="13">
        <f>InputData[[#This Row],[QUANTITY]]*InputData[[#This Row],[UNIT PRICE (R)]]</f>
        <v>610</v>
      </c>
      <c r="G378" s="1" t="str">
        <f>VLOOKUP(InputData[[#This Row],[CUSTOMER NAME]],Country[],2,0)</f>
        <v>Pakistan</v>
      </c>
      <c r="H378" s="1" t="str">
        <f>VLOOKUP(InputData[[#This Row],[CUSTOMER NAME]],Country[],3,0)</f>
        <v>Export</v>
      </c>
      <c r="I378" s="1" t="str">
        <f>TEXT(InputData[[#This Row],[DATE]],"mmmm")</f>
        <v>June</v>
      </c>
      <c r="J378" s="1" t="str">
        <f>TEXT(InputData[[#This Row],[DATE]],"ddd")</f>
        <v>Fri</v>
      </c>
      <c r="K378" s="14">
        <f>WEEKNUM(InputData[[#This Row],[DATE]])</f>
        <v>23</v>
      </c>
      <c r="N378"/>
      <c r="R378" s="3" t="s">
        <v>67</v>
      </c>
      <c r="S378" s="1" t="str">
        <f t="shared" si="10"/>
        <v>Ironbridge Trading Co.</v>
      </c>
      <c r="V378"/>
      <c r="Z378" s="11" t="s">
        <v>21</v>
      </c>
      <c r="AA378" s="1" t="str">
        <f t="shared" si="11"/>
        <v>Pipe Clamp 25mm</v>
      </c>
      <c r="AF378"/>
    </row>
    <row r="379" spans="1:32" x14ac:dyDescent="0.3">
      <c r="A379" s="10">
        <v>44351</v>
      </c>
      <c r="B379" s="3" t="s">
        <v>153</v>
      </c>
      <c r="C379" s="11" t="s">
        <v>248</v>
      </c>
      <c r="D379" s="12">
        <v>76.25</v>
      </c>
      <c r="E379" s="1">
        <v>12</v>
      </c>
      <c r="F379" s="13">
        <f>InputData[[#This Row],[QUANTITY]]*InputData[[#This Row],[UNIT PRICE (R)]]</f>
        <v>915</v>
      </c>
      <c r="G379" s="1" t="str">
        <f>VLOOKUP(InputData[[#This Row],[CUSTOMER NAME]],Country[],2,0)</f>
        <v>Mexico</v>
      </c>
      <c r="H379" s="1" t="str">
        <f>VLOOKUP(InputData[[#This Row],[CUSTOMER NAME]],Country[],3,0)</f>
        <v>Export</v>
      </c>
      <c r="I379" s="1" t="str">
        <f>TEXT(InputData[[#This Row],[DATE]],"mmmm")</f>
        <v>June</v>
      </c>
      <c r="J379" s="1" t="str">
        <f>TEXT(InputData[[#This Row],[DATE]],"ddd")</f>
        <v>Fri</v>
      </c>
      <c r="K379" s="14">
        <f>WEEKNUM(InputData[[#This Row],[DATE]])</f>
        <v>23</v>
      </c>
      <c r="N379"/>
      <c r="R379" s="3" t="s">
        <v>53</v>
      </c>
      <c r="S379" s="1" t="str">
        <f t="shared" si="10"/>
        <v>Vantage Point Retailers</v>
      </c>
      <c r="V379"/>
      <c r="Z379" s="11" t="s">
        <v>20</v>
      </c>
      <c r="AA379" s="1" t="str">
        <f t="shared" si="11"/>
        <v>Toggle Bolt M6</v>
      </c>
      <c r="AF379"/>
    </row>
    <row r="380" spans="1:32" x14ac:dyDescent="0.3">
      <c r="A380" s="10">
        <v>44351</v>
      </c>
      <c r="B380" s="3" t="s">
        <v>159</v>
      </c>
      <c r="C380" s="11" t="s">
        <v>244</v>
      </c>
      <c r="D380" s="12">
        <v>16.64</v>
      </c>
      <c r="E380" s="1">
        <v>30</v>
      </c>
      <c r="F380" s="13">
        <f>InputData[[#This Row],[QUANTITY]]*InputData[[#This Row],[UNIT PRICE (R)]]</f>
        <v>499.20000000000005</v>
      </c>
      <c r="G380" s="1" t="str">
        <f>VLOOKUP(InputData[[#This Row],[CUSTOMER NAME]],Country[],2,0)</f>
        <v>Saudi Arabia</v>
      </c>
      <c r="H380" s="1" t="str">
        <f>VLOOKUP(InputData[[#This Row],[CUSTOMER NAME]],Country[],3,0)</f>
        <v>Export</v>
      </c>
      <c r="I380" s="1" t="str">
        <f>TEXT(InputData[[#This Row],[DATE]],"mmmm")</f>
        <v>June</v>
      </c>
      <c r="J380" s="1" t="str">
        <f>TEXT(InputData[[#This Row],[DATE]],"ddd")</f>
        <v>Fri</v>
      </c>
      <c r="K380" s="14">
        <f>WEEKNUM(InputData[[#This Row],[DATE]])</f>
        <v>23</v>
      </c>
      <c r="N380"/>
      <c r="R380" s="3" t="s">
        <v>58</v>
      </c>
      <c r="S380" s="1" t="str">
        <f t="shared" si="10"/>
        <v>Redwood Mercantile</v>
      </c>
      <c r="V380"/>
      <c r="Z380" s="11" t="s">
        <v>20</v>
      </c>
      <c r="AA380" s="1" t="str">
        <f t="shared" si="11"/>
        <v>Toggle Bolt M6</v>
      </c>
      <c r="AF380"/>
    </row>
    <row r="381" spans="1:32" x14ac:dyDescent="0.3">
      <c r="A381" s="10">
        <v>44352</v>
      </c>
      <c r="B381" s="3" t="s">
        <v>150</v>
      </c>
      <c r="C381" s="11" t="s">
        <v>250</v>
      </c>
      <c r="D381" s="12">
        <v>141.57</v>
      </c>
      <c r="E381" s="1">
        <v>15</v>
      </c>
      <c r="F381" s="13">
        <f>InputData[[#This Row],[QUANTITY]]*InputData[[#This Row],[UNIT PRICE (R)]]</f>
        <v>2123.5499999999997</v>
      </c>
      <c r="G381" s="1" t="str">
        <f>VLOOKUP(InputData[[#This Row],[CUSTOMER NAME]],Country[],2,0)</f>
        <v>United Kingdom</v>
      </c>
      <c r="H381" s="1" t="str">
        <f>VLOOKUP(InputData[[#This Row],[CUSTOMER NAME]],Country[],3,0)</f>
        <v>Export</v>
      </c>
      <c r="I381" s="1" t="str">
        <f>TEXT(InputData[[#This Row],[DATE]],"mmmm")</f>
        <v>June</v>
      </c>
      <c r="J381" s="1" t="str">
        <f>TEXT(InputData[[#This Row],[DATE]],"ddd")</f>
        <v>Sat</v>
      </c>
      <c r="K381" s="14">
        <f>WEEKNUM(InputData[[#This Row],[DATE]])</f>
        <v>23</v>
      </c>
      <c r="N381"/>
      <c r="R381" s="3" t="s">
        <v>64</v>
      </c>
      <c r="S381" s="1" t="str">
        <f t="shared" si="10"/>
        <v>Ridgeway Commercial</v>
      </c>
      <c r="V381"/>
      <c r="Z381" s="11" t="s">
        <v>16</v>
      </c>
      <c r="AA381" s="1" t="str">
        <f t="shared" si="11"/>
        <v>Blind Rivet 6mm</v>
      </c>
      <c r="AF381"/>
    </row>
    <row r="382" spans="1:32" x14ac:dyDescent="0.3">
      <c r="A382" s="10">
        <v>44352</v>
      </c>
      <c r="B382" s="3" t="s">
        <v>150</v>
      </c>
      <c r="C382" s="11" t="s">
        <v>240</v>
      </c>
      <c r="D382" s="12">
        <v>94.17</v>
      </c>
      <c r="E382" s="1">
        <v>5</v>
      </c>
      <c r="F382" s="13">
        <f>InputData[[#This Row],[QUANTITY]]*InputData[[#This Row],[UNIT PRICE (R)]]</f>
        <v>470.85</v>
      </c>
      <c r="G382" s="1" t="str">
        <f>VLOOKUP(InputData[[#This Row],[CUSTOMER NAME]],Country[],2,0)</f>
        <v>United Kingdom</v>
      </c>
      <c r="H382" s="1" t="str">
        <f>VLOOKUP(InputData[[#This Row],[CUSTOMER NAME]],Country[],3,0)</f>
        <v>Export</v>
      </c>
      <c r="I382" s="1" t="str">
        <f>TEXT(InputData[[#This Row],[DATE]],"mmmm")</f>
        <v>June</v>
      </c>
      <c r="J382" s="1" t="str">
        <f>TEXT(InputData[[#This Row],[DATE]],"ddd")</f>
        <v>Sat</v>
      </c>
      <c r="K382" s="14">
        <f>WEEKNUM(InputData[[#This Row],[DATE]])</f>
        <v>23</v>
      </c>
      <c r="N382"/>
      <c r="R382" s="3" t="s">
        <v>55</v>
      </c>
      <c r="S382" s="1" t="str">
        <f t="shared" si="10"/>
        <v>Silverline Wholesalers</v>
      </c>
      <c r="V382"/>
      <c r="Z382" s="11" t="s">
        <v>22</v>
      </c>
      <c r="AA382" s="1" t="str">
        <f t="shared" si="11"/>
        <v>Hose Clamp 32mm</v>
      </c>
      <c r="AF382"/>
    </row>
    <row r="383" spans="1:32" x14ac:dyDescent="0.3">
      <c r="A383" s="10">
        <v>44352</v>
      </c>
      <c r="B383" s="3" t="s">
        <v>158</v>
      </c>
      <c r="C383" s="11" t="s">
        <v>231</v>
      </c>
      <c r="D383" s="12">
        <v>80.94</v>
      </c>
      <c r="E383" s="1">
        <v>17</v>
      </c>
      <c r="F383" s="13">
        <f>InputData[[#This Row],[QUANTITY]]*InputData[[#This Row],[UNIT PRICE (R)]]</f>
        <v>1375.98</v>
      </c>
      <c r="G383" s="1" t="str">
        <f>VLOOKUP(InputData[[#This Row],[CUSTOMER NAME]],Country[],2,0)</f>
        <v>Russia</v>
      </c>
      <c r="H383" s="1" t="str">
        <f>VLOOKUP(InputData[[#This Row],[CUSTOMER NAME]],Country[],3,0)</f>
        <v>Export</v>
      </c>
      <c r="I383" s="1" t="str">
        <f>TEXT(InputData[[#This Row],[DATE]],"mmmm")</f>
        <v>June</v>
      </c>
      <c r="J383" s="1" t="str">
        <f>TEXT(InputData[[#This Row],[DATE]],"ddd")</f>
        <v>Sat</v>
      </c>
      <c r="K383" s="14">
        <f>WEEKNUM(InputData[[#This Row],[DATE]])</f>
        <v>23</v>
      </c>
      <c r="N383"/>
      <c r="R383" s="3" t="s">
        <v>55</v>
      </c>
      <c r="S383" s="1" t="str">
        <f t="shared" si="10"/>
        <v>Silverline Wholesalers</v>
      </c>
      <c r="V383"/>
      <c r="Z383" s="11" t="s">
        <v>12</v>
      </c>
      <c r="AA383" s="1" t="str">
        <f t="shared" si="11"/>
        <v>Drywall Screw 30mm</v>
      </c>
      <c r="AF383"/>
    </row>
    <row r="384" spans="1:32" x14ac:dyDescent="0.3">
      <c r="A384" s="10">
        <v>44352</v>
      </c>
      <c r="B384" s="3" t="s">
        <v>162</v>
      </c>
      <c r="C384" s="11" t="s">
        <v>237</v>
      </c>
      <c r="D384" s="12">
        <v>7.8599999999999994</v>
      </c>
      <c r="E384" s="1">
        <v>32</v>
      </c>
      <c r="F384" s="13">
        <f>InputData[[#This Row],[QUANTITY]]*InputData[[#This Row],[UNIT PRICE (R)]]</f>
        <v>251.51999999999998</v>
      </c>
      <c r="G384" s="1" t="str">
        <f>VLOOKUP(InputData[[#This Row],[CUSTOMER NAME]],Country[],2,0)</f>
        <v>United Kingdom</v>
      </c>
      <c r="H384" s="1" t="str">
        <f>VLOOKUP(InputData[[#This Row],[CUSTOMER NAME]],Country[],3,0)</f>
        <v>Export</v>
      </c>
      <c r="I384" s="1" t="str">
        <f>TEXT(InputData[[#This Row],[DATE]],"mmmm")</f>
        <v>June</v>
      </c>
      <c r="J384" s="1" t="str">
        <f>TEXT(InputData[[#This Row],[DATE]],"ddd")</f>
        <v>Sat</v>
      </c>
      <c r="K384" s="14">
        <f>WEEKNUM(InputData[[#This Row],[DATE]])</f>
        <v>23</v>
      </c>
      <c r="N384"/>
      <c r="R384" s="3" t="s">
        <v>63</v>
      </c>
      <c r="S384" s="1" t="str">
        <f t="shared" si="10"/>
        <v>Ovenden &amp; Sons</v>
      </c>
      <c r="V384"/>
      <c r="Z384" s="11" t="s">
        <v>3</v>
      </c>
      <c r="AA384" s="1" t="str">
        <f t="shared" si="11"/>
        <v>Hex Bolt M12</v>
      </c>
      <c r="AF384"/>
    </row>
    <row r="385" spans="1:32" x14ac:dyDescent="0.3">
      <c r="A385" s="10">
        <v>44352</v>
      </c>
      <c r="B385" s="3" t="s">
        <v>172</v>
      </c>
      <c r="C385" s="11" t="s">
        <v>263</v>
      </c>
      <c r="D385" s="12">
        <v>6.7</v>
      </c>
      <c r="E385" s="1">
        <v>10</v>
      </c>
      <c r="F385" s="13">
        <f>InputData[[#This Row],[QUANTITY]]*InputData[[#This Row],[UNIT PRICE (R)]]</f>
        <v>67</v>
      </c>
      <c r="G385" s="1" t="str">
        <f>VLOOKUP(InputData[[#This Row],[CUSTOMER NAME]],Country[],2,0)</f>
        <v>Mexico</v>
      </c>
      <c r="H385" s="1" t="str">
        <f>VLOOKUP(InputData[[#This Row],[CUSTOMER NAME]],Country[],3,0)</f>
        <v>Export</v>
      </c>
      <c r="I385" s="1" t="str">
        <f>TEXT(InputData[[#This Row],[DATE]],"mmmm")</f>
        <v>June</v>
      </c>
      <c r="J385" s="1" t="str">
        <f>TEXT(InputData[[#This Row],[DATE]],"ddd")</f>
        <v>Sat</v>
      </c>
      <c r="K385" s="14">
        <f>WEEKNUM(InputData[[#This Row],[DATE]])</f>
        <v>23</v>
      </c>
      <c r="N385"/>
      <c r="R385" s="3" t="s">
        <v>67</v>
      </c>
      <c r="S385" s="1" t="str">
        <f t="shared" si="10"/>
        <v>Ironbridge Trading Co.</v>
      </c>
      <c r="V385"/>
      <c r="Z385" s="11" t="s">
        <v>9</v>
      </c>
      <c r="AA385" s="1" t="str">
        <f t="shared" si="11"/>
        <v>Threaded Rod M12</v>
      </c>
      <c r="AF385"/>
    </row>
    <row r="386" spans="1:32" x14ac:dyDescent="0.3">
      <c r="A386" s="10">
        <v>44353</v>
      </c>
      <c r="B386" s="3" t="s">
        <v>159</v>
      </c>
      <c r="C386" s="11" t="s">
        <v>261</v>
      </c>
      <c r="D386" s="12">
        <v>119.7</v>
      </c>
      <c r="E386" s="1">
        <v>6</v>
      </c>
      <c r="F386" s="13">
        <f>InputData[[#This Row],[QUANTITY]]*InputData[[#This Row],[UNIT PRICE (R)]]</f>
        <v>718.2</v>
      </c>
      <c r="G386" s="1" t="str">
        <f>VLOOKUP(InputData[[#This Row],[CUSTOMER NAME]],Country[],2,0)</f>
        <v>Saudi Arabia</v>
      </c>
      <c r="H386" s="1" t="str">
        <f>VLOOKUP(InputData[[#This Row],[CUSTOMER NAME]],Country[],3,0)</f>
        <v>Export</v>
      </c>
      <c r="I386" s="1" t="str">
        <f>TEXT(InputData[[#This Row],[DATE]],"mmmm")</f>
        <v>June</v>
      </c>
      <c r="J386" s="1" t="str">
        <f>TEXT(InputData[[#This Row],[DATE]],"ddd")</f>
        <v>Sun</v>
      </c>
      <c r="K386" s="14">
        <f>WEEKNUM(InputData[[#This Row],[DATE]])</f>
        <v>24</v>
      </c>
      <c r="N386"/>
      <c r="R386" s="3" t="s">
        <v>77</v>
      </c>
      <c r="S386" s="1" t="str">
        <f t="shared" si="10"/>
        <v>Fenwick Traders</v>
      </c>
      <c r="V386"/>
      <c r="Z386" s="11" t="s">
        <v>35</v>
      </c>
      <c r="AA386" s="1" t="str">
        <f t="shared" si="11"/>
        <v>T-Bracket 100mm</v>
      </c>
      <c r="AF386"/>
    </row>
    <row r="387" spans="1:32" x14ac:dyDescent="0.3">
      <c r="A387" s="10">
        <v>44353</v>
      </c>
      <c r="B387" s="3" t="s">
        <v>170</v>
      </c>
      <c r="C387" s="11" t="s">
        <v>229</v>
      </c>
      <c r="D387" s="12">
        <v>103.88</v>
      </c>
      <c r="E387" s="1">
        <v>33</v>
      </c>
      <c r="F387" s="13">
        <f>InputData[[#This Row],[QUANTITY]]*InputData[[#This Row],[UNIT PRICE (R)]]</f>
        <v>3428.04</v>
      </c>
      <c r="G387" s="1" t="str">
        <f>VLOOKUP(InputData[[#This Row],[CUSTOMER NAME]],Country[],2,0)</f>
        <v>France</v>
      </c>
      <c r="H387" s="1" t="str">
        <f>VLOOKUP(InputData[[#This Row],[CUSTOMER NAME]],Country[],3,0)</f>
        <v>Export</v>
      </c>
      <c r="I387" s="1" t="str">
        <f>TEXT(InputData[[#This Row],[DATE]],"mmmm")</f>
        <v>June</v>
      </c>
      <c r="J387" s="1" t="str">
        <f>TEXT(InputData[[#This Row],[DATE]],"ddd")</f>
        <v>Sun</v>
      </c>
      <c r="K387" s="14">
        <f>WEEKNUM(InputData[[#This Row],[DATE]])</f>
        <v>24</v>
      </c>
      <c r="N387"/>
      <c r="R387" s="3" t="s">
        <v>64</v>
      </c>
      <c r="S387" s="1" t="str">
        <f t="shared" si="10"/>
        <v>Ridgeway Commercial</v>
      </c>
      <c r="V387"/>
      <c r="Z387" s="11" t="s">
        <v>33</v>
      </c>
      <c r="AA387" s="1" t="str">
        <f t="shared" si="11"/>
        <v>Shelf Bracket 200mm</v>
      </c>
      <c r="AF387"/>
    </row>
    <row r="388" spans="1:32" x14ac:dyDescent="0.3">
      <c r="A388" s="10">
        <v>44355</v>
      </c>
      <c r="B388" s="3" t="s">
        <v>154</v>
      </c>
      <c r="C388" s="11" t="s">
        <v>256</v>
      </c>
      <c r="D388" s="12">
        <v>41.81</v>
      </c>
      <c r="E388" s="1">
        <v>11</v>
      </c>
      <c r="F388" s="13">
        <f>InputData[[#This Row],[QUANTITY]]*InputData[[#This Row],[UNIT PRICE (R)]]</f>
        <v>459.91</v>
      </c>
      <c r="G388" s="1" t="str">
        <f>VLOOKUP(InputData[[#This Row],[CUSTOMER NAME]],Country[],2,0)</f>
        <v>India</v>
      </c>
      <c r="H388" s="1" t="str">
        <f>VLOOKUP(InputData[[#This Row],[CUSTOMER NAME]],Country[],3,0)</f>
        <v>Central</v>
      </c>
      <c r="I388" s="1" t="str">
        <f>TEXT(InputData[[#This Row],[DATE]],"mmmm")</f>
        <v>June</v>
      </c>
      <c r="J388" s="1" t="str">
        <f>TEXT(InputData[[#This Row],[DATE]],"ddd")</f>
        <v>Tue</v>
      </c>
      <c r="K388" s="14">
        <f>WEEKNUM(InputData[[#This Row],[DATE]])</f>
        <v>24</v>
      </c>
      <c r="N388"/>
      <c r="R388" s="3" t="s">
        <v>75</v>
      </c>
      <c r="S388" s="1" t="str">
        <f t="shared" si="10"/>
        <v>Cranfield &amp; Co.</v>
      </c>
      <c r="V388"/>
      <c r="Z388" s="11" t="s">
        <v>1</v>
      </c>
      <c r="AA388" s="1" t="str">
        <f t="shared" si="11"/>
        <v>Hex Bolt M8</v>
      </c>
      <c r="AF388"/>
    </row>
    <row r="389" spans="1:32" x14ac:dyDescent="0.3">
      <c r="A389" s="10">
        <v>44355</v>
      </c>
      <c r="B389" s="3" t="s">
        <v>165</v>
      </c>
      <c r="C389" s="11" t="s">
        <v>232</v>
      </c>
      <c r="D389" s="12">
        <v>48.84</v>
      </c>
      <c r="E389" s="1">
        <v>11</v>
      </c>
      <c r="F389" s="13">
        <f>InputData[[#This Row],[QUANTITY]]*InputData[[#This Row],[UNIT PRICE (R)]]</f>
        <v>537.24</v>
      </c>
      <c r="G389" s="1" t="str">
        <f>VLOOKUP(InputData[[#This Row],[CUSTOMER NAME]],Country[],2,0)</f>
        <v>India</v>
      </c>
      <c r="H389" s="1" t="str">
        <f>VLOOKUP(InputData[[#This Row],[CUSTOMER NAME]],Country[],3,0)</f>
        <v>Western</v>
      </c>
      <c r="I389" s="1" t="str">
        <f>TEXT(InputData[[#This Row],[DATE]],"mmmm")</f>
        <v>June</v>
      </c>
      <c r="J389" s="1" t="str">
        <f>TEXT(InputData[[#This Row],[DATE]],"ddd")</f>
        <v>Tue</v>
      </c>
      <c r="K389" s="14">
        <f>WEEKNUM(InputData[[#This Row],[DATE]])</f>
        <v>24</v>
      </c>
      <c r="N389"/>
      <c r="R389" s="3" t="s">
        <v>59</v>
      </c>
      <c r="S389" s="1" t="str">
        <f t="shared" si="10"/>
        <v>Bellview Enterprises</v>
      </c>
      <c r="V389"/>
      <c r="Z389" s="11" t="s">
        <v>28</v>
      </c>
      <c r="AA389" s="1" t="str">
        <f t="shared" si="11"/>
        <v>Cabinet Hinge 75mm</v>
      </c>
      <c r="AF389"/>
    </row>
    <row r="390" spans="1:32" x14ac:dyDescent="0.3">
      <c r="A390" s="10">
        <v>44356</v>
      </c>
      <c r="B390" s="3" t="s">
        <v>163</v>
      </c>
      <c r="C390" s="11" t="s">
        <v>229</v>
      </c>
      <c r="D390" s="12">
        <v>103.88</v>
      </c>
      <c r="E390" s="1">
        <v>7</v>
      </c>
      <c r="F390" s="13">
        <f>InputData[[#This Row],[QUANTITY]]*InputData[[#This Row],[UNIT PRICE (R)]]</f>
        <v>727.16</v>
      </c>
      <c r="G390" s="1" t="str">
        <f>VLOOKUP(InputData[[#This Row],[CUSTOMER NAME]],Country[],2,0)</f>
        <v>South Africa</v>
      </c>
      <c r="H390" s="1" t="str">
        <f>VLOOKUP(InputData[[#This Row],[CUSTOMER NAME]],Country[],3,0)</f>
        <v>Export</v>
      </c>
      <c r="I390" s="1" t="str">
        <f>TEXT(InputData[[#This Row],[DATE]],"mmmm")</f>
        <v>June</v>
      </c>
      <c r="J390" s="1" t="str">
        <f>TEXT(InputData[[#This Row],[DATE]],"ddd")</f>
        <v>Wed</v>
      </c>
      <c r="K390" s="14">
        <f>WEEKNUM(InputData[[#This Row],[DATE]])</f>
        <v>24</v>
      </c>
      <c r="N390"/>
      <c r="R390" s="3" t="s">
        <v>70</v>
      </c>
      <c r="S390" s="1" t="str">
        <f t="shared" si="10"/>
        <v>Larkspur Retailers</v>
      </c>
      <c r="V390"/>
      <c r="Z390" s="11" t="s">
        <v>4</v>
      </c>
      <c r="AA390" s="1" t="str">
        <f t="shared" si="11"/>
        <v>Carriage Bolt M8</v>
      </c>
      <c r="AF390"/>
    </row>
    <row r="391" spans="1:32" x14ac:dyDescent="0.3">
      <c r="A391" s="10">
        <v>44356</v>
      </c>
      <c r="B391" s="3" t="s">
        <v>169</v>
      </c>
      <c r="C391" s="11" t="s">
        <v>268</v>
      </c>
      <c r="D391" s="12">
        <v>115.2</v>
      </c>
      <c r="E391" s="1">
        <v>32</v>
      </c>
      <c r="F391" s="13">
        <f>InputData[[#This Row],[QUANTITY]]*InputData[[#This Row],[UNIT PRICE (R)]]</f>
        <v>3686.4</v>
      </c>
      <c r="G391" s="1" t="str">
        <f>VLOOKUP(InputData[[#This Row],[CUSTOMER NAME]],Country[],2,0)</f>
        <v>India</v>
      </c>
      <c r="H391" s="1" t="str">
        <f>VLOOKUP(InputData[[#This Row],[CUSTOMER NAME]],Country[],3,0)</f>
        <v>South</v>
      </c>
      <c r="I391" s="1" t="str">
        <f>TEXT(InputData[[#This Row],[DATE]],"mmmm")</f>
        <v>June</v>
      </c>
      <c r="J391" s="1" t="str">
        <f>TEXT(InputData[[#This Row],[DATE]],"ddd")</f>
        <v>Wed</v>
      </c>
      <c r="K391" s="14">
        <f>WEEKNUM(InputData[[#This Row],[DATE]])</f>
        <v>24</v>
      </c>
      <c r="N391"/>
      <c r="R391" s="3" t="s">
        <v>68</v>
      </c>
      <c r="S391" s="1" t="str">
        <f t="shared" ref="S391:S454" si="12">_xlfn.XLOOKUP(R391,$N$5:$N$64,$O$5:$O$64,"Not Found")</f>
        <v>Delacroix Wholesale</v>
      </c>
      <c r="V391"/>
      <c r="Z391" s="11" t="s">
        <v>1</v>
      </c>
      <c r="AA391" s="1" t="str">
        <f t="shared" ref="AA391:AA454" si="13">_xlfn.XLOOKUP(Z391,$V$5:$V$48,$W$5:$W$48,"Not Found",0)</f>
        <v>Hex Bolt M8</v>
      </c>
      <c r="AF391"/>
    </row>
    <row r="392" spans="1:32" x14ac:dyDescent="0.3">
      <c r="A392" s="10">
        <v>44357</v>
      </c>
      <c r="B392" s="3" t="s">
        <v>144</v>
      </c>
      <c r="C392" s="11" t="s">
        <v>256</v>
      </c>
      <c r="D392" s="12">
        <v>41.81</v>
      </c>
      <c r="E392" s="1">
        <v>8</v>
      </c>
      <c r="F392" s="13">
        <f>InputData[[#This Row],[QUANTITY]]*InputData[[#This Row],[UNIT PRICE (R)]]</f>
        <v>334.48</v>
      </c>
      <c r="G392" s="1" t="str">
        <f>VLOOKUP(InputData[[#This Row],[CUSTOMER NAME]],Country[],2,0)</f>
        <v>Bangladesh</v>
      </c>
      <c r="H392" s="1" t="str">
        <f>VLOOKUP(InputData[[#This Row],[CUSTOMER NAME]],Country[],3,0)</f>
        <v>Export</v>
      </c>
      <c r="I392" s="1" t="str">
        <f>TEXT(InputData[[#This Row],[DATE]],"mmmm")</f>
        <v>June</v>
      </c>
      <c r="J392" s="1" t="str">
        <f>TEXT(InputData[[#This Row],[DATE]],"ddd")</f>
        <v>Thu</v>
      </c>
      <c r="K392" s="14">
        <f>WEEKNUM(InputData[[#This Row],[DATE]])</f>
        <v>24</v>
      </c>
      <c r="N392"/>
      <c r="R392" s="3" t="s">
        <v>74</v>
      </c>
      <c r="S392" s="1" t="str">
        <f t="shared" si="12"/>
        <v>Millbrook Distribution</v>
      </c>
      <c r="V392"/>
      <c r="Z392" s="11" t="s">
        <v>40</v>
      </c>
      <c r="AA392" s="1" t="str">
        <f t="shared" si="13"/>
        <v>Conduit Clamp 25mm</v>
      </c>
      <c r="AF392"/>
    </row>
    <row r="393" spans="1:32" x14ac:dyDescent="0.3">
      <c r="A393" s="10">
        <v>44358</v>
      </c>
      <c r="B393" s="3" t="s">
        <v>175</v>
      </c>
      <c r="C393" s="11" t="s">
        <v>260</v>
      </c>
      <c r="D393" s="12">
        <v>117.48</v>
      </c>
      <c r="E393" s="1">
        <v>12</v>
      </c>
      <c r="F393" s="13">
        <f>InputData[[#This Row],[QUANTITY]]*InputData[[#This Row],[UNIT PRICE (R)]]</f>
        <v>1409.76</v>
      </c>
      <c r="G393" s="1" t="str">
        <f>VLOOKUP(InputData[[#This Row],[CUSTOMER NAME]],Country[],2,0)</f>
        <v>India</v>
      </c>
      <c r="H393" s="1" t="str">
        <f>VLOOKUP(InputData[[#This Row],[CUSTOMER NAME]],Country[],3,0)</f>
        <v>Western</v>
      </c>
      <c r="I393" s="1" t="str">
        <f>TEXT(InputData[[#This Row],[DATE]],"mmmm")</f>
        <v>June</v>
      </c>
      <c r="J393" s="1" t="str">
        <f>TEXT(InputData[[#This Row],[DATE]],"ddd")</f>
        <v>Fri</v>
      </c>
      <c r="K393" s="14">
        <f>WEEKNUM(InputData[[#This Row],[DATE]])</f>
        <v>24</v>
      </c>
      <c r="N393"/>
      <c r="R393" s="3" t="s">
        <v>49</v>
      </c>
      <c r="S393" s="1" t="str">
        <f t="shared" si="12"/>
        <v>Baxter &amp; Kline Supplies</v>
      </c>
      <c r="V393"/>
      <c r="Z393" s="11" t="s">
        <v>28</v>
      </c>
      <c r="AA393" s="1" t="str">
        <f t="shared" si="13"/>
        <v>Cabinet Hinge 75mm</v>
      </c>
      <c r="AF393"/>
    </row>
    <row r="394" spans="1:32" x14ac:dyDescent="0.3">
      <c r="A394" s="10">
        <v>44358</v>
      </c>
      <c r="B394" s="3" t="s">
        <v>175</v>
      </c>
      <c r="C394" s="11" t="s">
        <v>233</v>
      </c>
      <c r="D394" s="12">
        <v>155.61000000000001</v>
      </c>
      <c r="E394" s="1">
        <v>9</v>
      </c>
      <c r="F394" s="13">
        <f>InputData[[#This Row],[QUANTITY]]*InputData[[#This Row],[UNIT PRICE (R)]]</f>
        <v>1400.4900000000002</v>
      </c>
      <c r="G394" s="1" t="str">
        <f>VLOOKUP(InputData[[#This Row],[CUSTOMER NAME]],Country[],2,0)</f>
        <v>India</v>
      </c>
      <c r="H394" s="1" t="str">
        <f>VLOOKUP(InputData[[#This Row],[CUSTOMER NAME]],Country[],3,0)</f>
        <v>Western</v>
      </c>
      <c r="I394" s="1" t="str">
        <f>TEXT(InputData[[#This Row],[DATE]],"mmmm")</f>
        <v>June</v>
      </c>
      <c r="J394" s="1" t="str">
        <f>TEXT(InputData[[#This Row],[DATE]],"ddd")</f>
        <v>Fri</v>
      </c>
      <c r="K394" s="14">
        <f>WEEKNUM(InputData[[#This Row],[DATE]])</f>
        <v>24</v>
      </c>
      <c r="N394"/>
      <c r="R394" s="3" t="s">
        <v>97</v>
      </c>
      <c r="S394" s="1" t="str">
        <f t="shared" si="12"/>
        <v>Stonebridge Commercial</v>
      </c>
      <c r="V394"/>
      <c r="Z394" s="11" t="s">
        <v>32</v>
      </c>
      <c r="AA394" s="1" t="str">
        <f t="shared" si="13"/>
        <v>Corner Bracket 50mm</v>
      </c>
      <c r="AF394"/>
    </row>
    <row r="395" spans="1:32" x14ac:dyDescent="0.3">
      <c r="A395" s="10">
        <v>44358</v>
      </c>
      <c r="B395" s="3" t="s">
        <v>157</v>
      </c>
      <c r="C395" s="11" t="s">
        <v>267</v>
      </c>
      <c r="D395" s="12">
        <v>42.55</v>
      </c>
      <c r="E395" s="1">
        <v>13</v>
      </c>
      <c r="F395" s="13">
        <f>InputData[[#This Row],[QUANTITY]]*InputData[[#This Row],[UNIT PRICE (R)]]</f>
        <v>553.15</v>
      </c>
      <c r="G395" s="1" t="str">
        <f>VLOOKUP(InputData[[#This Row],[CUSTOMER NAME]],Country[],2,0)</f>
        <v>Brazil</v>
      </c>
      <c r="H395" s="1" t="str">
        <f>VLOOKUP(InputData[[#This Row],[CUSTOMER NAME]],Country[],3,0)</f>
        <v>Export</v>
      </c>
      <c r="I395" s="1" t="str">
        <f>TEXT(InputData[[#This Row],[DATE]],"mmmm")</f>
        <v>June</v>
      </c>
      <c r="J395" s="1" t="str">
        <f>TEXT(InputData[[#This Row],[DATE]],"ddd")</f>
        <v>Fri</v>
      </c>
      <c r="K395" s="14">
        <f>WEEKNUM(InputData[[#This Row],[DATE]])</f>
        <v>24</v>
      </c>
      <c r="N395"/>
      <c r="R395" s="3" t="s">
        <v>97</v>
      </c>
      <c r="S395" s="1" t="str">
        <f t="shared" si="12"/>
        <v>Stonebridge Commercial</v>
      </c>
      <c r="V395"/>
      <c r="Z395" s="11" t="s">
        <v>5</v>
      </c>
      <c r="AA395" s="1" t="str">
        <f t="shared" si="13"/>
        <v>Wing Nut M6</v>
      </c>
      <c r="AF395"/>
    </row>
    <row r="396" spans="1:32" x14ac:dyDescent="0.3">
      <c r="A396" s="10">
        <v>44358</v>
      </c>
      <c r="B396" s="3" t="s">
        <v>168</v>
      </c>
      <c r="C396" s="11" t="s">
        <v>249</v>
      </c>
      <c r="D396" s="12">
        <v>162.54</v>
      </c>
      <c r="E396" s="1">
        <v>6</v>
      </c>
      <c r="F396" s="13">
        <f>InputData[[#This Row],[QUANTITY]]*InputData[[#This Row],[UNIT PRICE (R)]]</f>
        <v>975.24</v>
      </c>
      <c r="G396" s="1" t="str">
        <f>VLOOKUP(InputData[[#This Row],[CUSTOMER NAME]],Country[],2,0)</f>
        <v>India</v>
      </c>
      <c r="H396" s="1" t="str">
        <f>VLOOKUP(InputData[[#This Row],[CUSTOMER NAME]],Country[],3,0)</f>
        <v>Northeast</v>
      </c>
      <c r="I396" s="1" t="str">
        <f>TEXT(InputData[[#This Row],[DATE]],"mmmm")</f>
        <v>June</v>
      </c>
      <c r="J396" s="1" t="str">
        <f>TEXT(InputData[[#This Row],[DATE]],"ddd")</f>
        <v>Fri</v>
      </c>
      <c r="K396" s="14">
        <f>WEEKNUM(InputData[[#This Row],[DATE]])</f>
        <v>24</v>
      </c>
      <c r="N396"/>
      <c r="R396" s="3" t="s">
        <v>62</v>
      </c>
      <c r="S396" s="1" t="str">
        <f t="shared" si="12"/>
        <v>Marchbank Traders</v>
      </c>
      <c r="V396"/>
      <c r="Z396" s="11" t="s">
        <v>39</v>
      </c>
      <c r="AA396" s="1" t="str">
        <f t="shared" si="13"/>
        <v>Cable Clip 20mm</v>
      </c>
      <c r="AF396"/>
    </row>
    <row r="397" spans="1:32" x14ac:dyDescent="0.3">
      <c r="A397" s="10">
        <v>44359</v>
      </c>
      <c r="B397" s="3" t="s">
        <v>159</v>
      </c>
      <c r="C397" s="11" t="s">
        <v>269</v>
      </c>
      <c r="D397" s="12">
        <v>173.88</v>
      </c>
      <c r="E397" s="1">
        <v>6</v>
      </c>
      <c r="F397" s="13">
        <f>InputData[[#This Row],[QUANTITY]]*InputData[[#This Row],[UNIT PRICE (R)]]</f>
        <v>1043.28</v>
      </c>
      <c r="G397" s="1" t="str">
        <f>VLOOKUP(InputData[[#This Row],[CUSTOMER NAME]],Country[],2,0)</f>
        <v>Saudi Arabia</v>
      </c>
      <c r="H397" s="1" t="str">
        <f>VLOOKUP(InputData[[#This Row],[CUSTOMER NAME]],Country[],3,0)</f>
        <v>Export</v>
      </c>
      <c r="I397" s="1" t="str">
        <f>TEXT(InputData[[#This Row],[DATE]],"mmmm")</f>
        <v>June</v>
      </c>
      <c r="J397" s="1" t="str">
        <f>TEXT(InputData[[#This Row],[DATE]],"ddd")</f>
        <v>Sat</v>
      </c>
      <c r="K397" s="14">
        <f>WEEKNUM(InputData[[#This Row],[DATE]])</f>
        <v>24</v>
      </c>
      <c r="N397"/>
      <c r="R397" s="3" t="s">
        <v>73</v>
      </c>
      <c r="S397" s="1" t="str">
        <f t="shared" si="12"/>
        <v>Ashworth Trading Group</v>
      </c>
      <c r="V397"/>
      <c r="Z397" s="11" t="s">
        <v>21</v>
      </c>
      <c r="AA397" s="1" t="str">
        <f t="shared" si="13"/>
        <v>Pipe Clamp 25mm</v>
      </c>
      <c r="AF397"/>
    </row>
    <row r="398" spans="1:32" x14ac:dyDescent="0.3">
      <c r="A398" s="10">
        <v>44360</v>
      </c>
      <c r="B398" s="3" t="s">
        <v>148</v>
      </c>
      <c r="C398" s="11" t="s">
        <v>254</v>
      </c>
      <c r="D398" s="12">
        <v>24.66</v>
      </c>
      <c r="E398" s="1">
        <v>6</v>
      </c>
      <c r="F398" s="13">
        <f>InputData[[#This Row],[QUANTITY]]*InputData[[#This Row],[UNIT PRICE (R)]]</f>
        <v>147.96</v>
      </c>
      <c r="G398" s="1" t="str">
        <f>VLOOKUP(InputData[[#This Row],[CUSTOMER NAME]],Country[],2,0)</f>
        <v>Pakistan</v>
      </c>
      <c r="H398" s="1" t="str">
        <f>VLOOKUP(InputData[[#This Row],[CUSTOMER NAME]],Country[],3,0)</f>
        <v>Export</v>
      </c>
      <c r="I398" s="1" t="str">
        <f>TEXT(InputData[[#This Row],[DATE]],"mmmm")</f>
        <v>June</v>
      </c>
      <c r="J398" s="1" t="str">
        <f>TEXT(InputData[[#This Row],[DATE]],"ddd")</f>
        <v>Sun</v>
      </c>
      <c r="K398" s="14">
        <f>WEEKNUM(InputData[[#This Row],[DATE]])</f>
        <v>25</v>
      </c>
      <c r="N398"/>
      <c r="R398" s="3" t="s">
        <v>64</v>
      </c>
      <c r="S398" s="1" t="str">
        <f t="shared" si="12"/>
        <v>Ridgeway Commercial</v>
      </c>
      <c r="V398"/>
      <c r="Z398" s="11" t="s">
        <v>41</v>
      </c>
      <c r="AA398" s="1" t="str">
        <f t="shared" si="13"/>
        <v>PVC Elbow 20mm</v>
      </c>
      <c r="AF398"/>
    </row>
    <row r="399" spans="1:32" x14ac:dyDescent="0.3">
      <c r="A399" s="10">
        <v>44360</v>
      </c>
      <c r="B399" s="3" t="s">
        <v>152</v>
      </c>
      <c r="C399" s="11" t="s">
        <v>243</v>
      </c>
      <c r="D399" s="12">
        <v>15.719999999999999</v>
      </c>
      <c r="E399" s="1">
        <v>3</v>
      </c>
      <c r="F399" s="13">
        <f>InputData[[#This Row],[QUANTITY]]*InputData[[#This Row],[UNIT PRICE (R)]]</f>
        <v>47.16</v>
      </c>
      <c r="G399" s="1" t="str">
        <f>VLOOKUP(InputData[[#This Row],[CUSTOMER NAME]],Country[],2,0)</f>
        <v>India</v>
      </c>
      <c r="H399" s="1" t="str">
        <f>VLOOKUP(InputData[[#This Row],[CUSTOMER NAME]],Country[],3,0)</f>
        <v>South</v>
      </c>
      <c r="I399" s="1" t="str">
        <f>TEXT(InputData[[#This Row],[DATE]],"mmmm")</f>
        <v>June</v>
      </c>
      <c r="J399" s="1" t="str">
        <f>TEXT(InputData[[#This Row],[DATE]],"ddd")</f>
        <v>Sun</v>
      </c>
      <c r="K399" s="14">
        <f>WEEKNUM(InputData[[#This Row],[DATE]])</f>
        <v>25</v>
      </c>
      <c r="N399"/>
      <c r="R399" s="3" t="s">
        <v>53</v>
      </c>
      <c r="S399" s="1" t="str">
        <f t="shared" si="12"/>
        <v>Vantage Point Retailers</v>
      </c>
      <c r="V399"/>
      <c r="Z399" s="11" t="s">
        <v>26</v>
      </c>
      <c r="AA399" s="1" t="str">
        <f t="shared" si="13"/>
        <v>Chain Link 6mm</v>
      </c>
      <c r="AF399"/>
    </row>
    <row r="400" spans="1:32" x14ac:dyDescent="0.3">
      <c r="A400" s="10">
        <v>44360</v>
      </c>
      <c r="B400" s="3" t="s">
        <v>158</v>
      </c>
      <c r="C400" s="11" t="s">
        <v>250</v>
      </c>
      <c r="D400" s="12">
        <v>141.57</v>
      </c>
      <c r="E400" s="1">
        <v>20</v>
      </c>
      <c r="F400" s="13">
        <f>InputData[[#This Row],[QUANTITY]]*InputData[[#This Row],[UNIT PRICE (R)]]</f>
        <v>2831.3999999999996</v>
      </c>
      <c r="G400" s="1" t="str">
        <f>VLOOKUP(InputData[[#This Row],[CUSTOMER NAME]],Country[],2,0)</f>
        <v>Russia</v>
      </c>
      <c r="H400" s="1" t="str">
        <f>VLOOKUP(InputData[[#This Row],[CUSTOMER NAME]],Country[],3,0)</f>
        <v>Export</v>
      </c>
      <c r="I400" s="1" t="str">
        <f>TEXT(InputData[[#This Row],[DATE]],"mmmm")</f>
        <v>June</v>
      </c>
      <c r="J400" s="1" t="str">
        <f>TEXT(InputData[[#This Row],[DATE]],"ddd")</f>
        <v>Sun</v>
      </c>
      <c r="K400" s="14">
        <f>WEEKNUM(InputData[[#This Row],[DATE]])</f>
        <v>25</v>
      </c>
      <c r="N400"/>
      <c r="R400" s="3" t="s">
        <v>57</v>
      </c>
      <c r="S400" s="1" t="str">
        <f t="shared" si="12"/>
        <v>Ashcombe Traders</v>
      </c>
      <c r="V400"/>
      <c r="Z400" s="11" t="s">
        <v>15</v>
      </c>
      <c r="AA400" s="1" t="str">
        <f t="shared" si="13"/>
        <v>Rivet 4mm</v>
      </c>
      <c r="AF400"/>
    </row>
    <row r="401" spans="1:32" x14ac:dyDescent="0.3">
      <c r="A401" s="10">
        <v>44360</v>
      </c>
      <c r="B401" s="3" t="s">
        <v>167</v>
      </c>
      <c r="C401" s="11" t="s">
        <v>263</v>
      </c>
      <c r="D401" s="12">
        <v>6.7</v>
      </c>
      <c r="E401" s="1">
        <v>2</v>
      </c>
      <c r="F401" s="13">
        <f>InputData[[#This Row],[QUANTITY]]*InputData[[#This Row],[UNIT PRICE (R)]]</f>
        <v>13.4</v>
      </c>
      <c r="G401" s="1" t="str">
        <f>VLOOKUP(InputData[[#This Row],[CUSTOMER NAME]],Country[],2,0)</f>
        <v>Ethiopia</v>
      </c>
      <c r="H401" s="1" t="str">
        <f>VLOOKUP(InputData[[#This Row],[CUSTOMER NAME]],Country[],3,0)</f>
        <v>Export</v>
      </c>
      <c r="I401" s="1" t="str">
        <f>TEXT(InputData[[#This Row],[DATE]],"mmmm")</f>
        <v>June</v>
      </c>
      <c r="J401" s="1" t="str">
        <f>TEXT(InputData[[#This Row],[DATE]],"ddd")</f>
        <v>Sun</v>
      </c>
      <c r="K401" s="14">
        <f>WEEKNUM(InputData[[#This Row],[DATE]])</f>
        <v>25</v>
      </c>
      <c r="N401"/>
      <c r="R401" s="3" t="s">
        <v>63</v>
      </c>
      <c r="S401" s="1" t="str">
        <f t="shared" si="12"/>
        <v>Ovenden &amp; Sons</v>
      </c>
      <c r="V401"/>
      <c r="Z401" s="11" t="s">
        <v>22</v>
      </c>
      <c r="AA401" s="1" t="str">
        <f t="shared" si="13"/>
        <v>Hose Clamp 32mm</v>
      </c>
      <c r="AF401"/>
    </row>
    <row r="402" spans="1:32" x14ac:dyDescent="0.3">
      <c r="A402" s="10">
        <v>44361</v>
      </c>
      <c r="B402" s="3" t="s">
        <v>148</v>
      </c>
      <c r="C402" s="11" t="s">
        <v>253</v>
      </c>
      <c r="D402" s="12">
        <v>8.33</v>
      </c>
      <c r="E402" s="1">
        <v>10</v>
      </c>
      <c r="F402" s="13">
        <f>InputData[[#This Row],[QUANTITY]]*InputData[[#This Row],[UNIT PRICE (R)]]</f>
        <v>83.3</v>
      </c>
      <c r="G402" s="1" t="str">
        <f>VLOOKUP(InputData[[#This Row],[CUSTOMER NAME]],Country[],2,0)</f>
        <v>Pakistan</v>
      </c>
      <c r="H402" s="1" t="str">
        <f>VLOOKUP(InputData[[#This Row],[CUSTOMER NAME]],Country[],3,0)</f>
        <v>Export</v>
      </c>
      <c r="I402" s="1" t="str">
        <f>TEXT(InputData[[#This Row],[DATE]],"mmmm")</f>
        <v>June</v>
      </c>
      <c r="J402" s="1" t="str">
        <f>TEXT(InputData[[#This Row],[DATE]],"ddd")</f>
        <v>Mon</v>
      </c>
      <c r="K402" s="14">
        <f>WEEKNUM(InputData[[#This Row],[DATE]])</f>
        <v>25</v>
      </c>
      <c r="N402"/>
      <c r="R402" s="3" t="s">
        <v>72</v>
      </c>
      <c r="S402" s="1" t="str">
        <f t="shared" si="12"/>
        <v>Hendricks Mercantile</v>
      </c>
      <c r="V402"/>
      <c r="Z402" s="11" t="s">
        <v>35</v>
      </c>
      <c r="AA402" s="1" t="str">
        <f t="shared" si="13"/>
        <v>T-Bracket 100mm</v>
      </c>
      <c r="AF402"/>
    </row>
    <row r="403" spans="1:32" x14ac:dyDescent="0.3">
      <c r="A403" s="10">
        <v>44362</v>
      </c>
      <c r="B403" s="3" t="s">
        <v>172</v>
      </c>
      <c r="C403" s="11" t="s">
        <v>270</v>
      </c>
      <c r="D403" s="12">
        <v>162</v>
      </c>
      <c r="E403" s="1">
        <v>15</v>
      </c>
      <c r="F403" s="13">
        <f>InputData[[#This Row],[QUANTITY]]*InputData[[#This Row],[UNIT PRICE (R)]]</f>
        <v>2430</v>
      </c>
      <c r="G403" s="1" t="str">
        <f>VLOOKUP(InputData[[#This Row],[CUSTOMER NAME]],Country[],2,0)</f>
        <v>Mexico</v>
      </c>
      <c r="H403" s="1" t="str">
        <f>VLOOKUP(InputData[[#This Row],[CUSTOMER NAME]],Country[],3,0)</f>
        <v>Export</v>
      </c>
      <c r="I403" s="1" t="str">
        <f>TEXT(InputData[[#This Row],[DATE]],"mmmm")</f>
        <v>June</v>
      </c>
      <c r="J403" s="1" t="str">
        <f>TEXT(InputData[[#This Row],[DATE]],"ddd")</f>
        <v>Tue</v>
      </c>
      <c r="K403" s="14">
        <f>WEEKNUM(InputData[[#This Row],[DATE]])</f>
        <v>25</v>
      </c>
      <c r="N403"/>
      <c r="R403" s="3" t="s">
        <v>53</v>
      </c>
      <c r="S403" s="1" t="str">
        <f t="shared" si="12"/>
        <v>Vantage Point Retailers</v>
      </c>
      <c r="V403"/>
      <c r="Z403" s="11" t="s">
        <v>25</v>
      </c>
      <c r="AA403" s="1" t="str">
        <f t="shared" si="13"/>
        <v>Turnbuckle M8</v>
      </c>
      <c r="AF403"/>
    </row>
    <row r="404" spans="1:32" x14ac:dyDescent="0.3">
      <c r="A404" s="10">
        <v>44363</v>
      </c>
      <c r="B404" s="3" t="s">
        <v>154</v>
      </c>
      <c r="C404" s="11" t="s">
        <v>247</v>
      </c>
      <c r="D404" s="12">
        <v>210</v>
      </c>
      <c r="E404" s="1">
        <v>5</v>
      </c>
      <c r="F404" s="13">
        <f>InputData[[#This Row],[QUANTITY]]*InputData[[#This Row],[UNIT PRICE (R)]]</f>
        <v>1050</v>
      </c>
      <c r="G404" s="1" t="str">
        <f>VLOOKUP(InputData[[#This Row],[CUSTOMER NAME]],Country[],2,0)</f>
        <v>India</v>
      </c>
      <c r="H404" s="1" t="str">
        <f>VLOOKUP(InputData[[#This Row],[CUSTOMER NAME]],Country[],3,0)</f>
        <v>Central</v>
      </c>
      <c r="I404" s="1" t="str">
        <f>TEXT(InputData[[#This Row],[DATE]],"mmmm")</f>
        <v>June</v>
      </c>
      <c r="J404" s="1" t="str">
        <f>TEXT(InputData[[#This Row],[DATE]],"ddd")</f>
        <v>Wed</v>
      </c>
      <c r="K404" s="14">
        <f>WEEKNUM(InputData[[#This Row],[DATE]])</f>
        <v>25</v>
      </c>
      <c r="N404"/>
      <c r="R404" s="3" t="s">
        <v>77</v>
      </c>
      <c r="S404" s="1" t="str">
        <f t="shared" si="12"/>
        <v>Fenwick Traders</v>
      </c>
      <c r="V404"/>
      <c r="Z404" s="11" t="s">
        <v>42</v>
      </c>
      <c r="AA404" s="1" t="str">
        <f t="shared" si="13"/>
        <v>PVC Coupling 25mm</v>
      </c>
      <c r="AF404"/>
    </row>
    <row r="405" spans="1:32" x14ac:dyDescent="0.3">
      <c r="A405" s="10">
        <v>44363</v>
      </c>
      <c r="B405" s="3" t="s">
        <v>163</v>
      </c>
      <c r="C405" s="11" t="s">
        <v>267</v>
      </c>
      <c r="D405" s="12">
        <v>42.55</v>
      </c>
      <c r="E405" s="1">
        <v>11</v>
      </c>
      <c r="F405" s="13">
        <f>InputData[[#This Row],[QUANTITY]]*InputData[[#This Row],[UNIT PRICE (R)]]</f>
        <v>468.04999999999995</v>
      </c>
      <c r="G405" s="1" t="str">
        <f>VLOOKUP(InputData[[#This Row],[CUSTOMER NAME]],Country[],2,0)</f>
        <v>South Africa</v>
      </c>
      <c r="H405" s="1" t="str">
        <f>VLOOKUP(InputData[[#This Row],[CUSTOMER NAME]],Country[],3,0)</f>
        <v>Export</v>
      </c>
      <c r="I405" s="1" t="str">
        <f>TEXT(InputData[[#This Row],[DATE]],"mmmm")</f>
        <v>June</v>
      </c>
      <c r="J405" s="1" t="str">
        <f>TEXT(InputData[[#This Row],[DATE]],"ddd")</f>
        <v>Wed</v>
      </c>
      <c r="K405" s="14">
        <f>WEEKNUM(InputData[[#This Row],[DATE]])</f>
        <v>25</v>
      </c>
      <c r="N405"/>
      <c r="R405" s="3" t="s">
        <v>59</v>
      </c>
      <c r="S405" s="1" t="str">
        <f t="shared" si="12"/>
        <v>Bellview Enterprises</v>
      </c>
      <c r="V405"/>
      <c r="Z405" s="11" t="s">
        <v>19</v>
      </c>
      <c r="AA405" s="1" t="str">
        <f t="shared" si="13"/>
        <v>Anchor Bolt M10</v>
      </c>
      <c r="AF405"/>
    </row>
    <row r="406" spans="1:32" x14ac:dyDescent="0.3">
      <c r="A406" s="10">
        <v>44363</v>
      </c>
      <c r="B406" s="3" t="s">
        <v>164</v>
      </c>
      <c r="C406" s="11" t="s">
        <v>243</v>
      </c>
      <c r="D406" s="12">
        <v>15.719999999999999</v>
      </c>
      <c r="E406" s="1">
        <v>12</v>
      </c>
      <c r="F406" s="13">
        <f>InputData[[#This Row],[QUANTITY]]*InputData[[#This Row],[UNIT PRICE (R)]]</f>
        <v>188.64</v>
      </c>
      <c r="G406" s="1" t="str">
        <f>VLOOKUP(InputData[[#This Row],[CUSTOMER NAME]],Country[],2,0)</f>
        <v>India</v>
      </c>
      <c r="H406" s="1" t="str">
        <f>VLOOKUP(InputData[[#This Row],[CUSTOMER NAME]],Country[],3,0)</f>
        <v>East</v>
      </c>
      <c r="I406" s="1" t="str">
        <f>TEXT(InputData[[#This Row],[DATE]],"mmmm")</f>
        <v>June</v>
      </c>
      <c r="J406" s="1" t="str">
        <f>TEXT(InputData[[#This Row],[DATE]],"ddd")</f>
        <v>Wed</v>
      </c>
      <c r="K406" s="14">
        <f>WEEKNUM(InputData[[#This Row],[DATE]])</f>
        <v>25</v>
      </c>
      <c r="N406"/>
      <c r="R406" s="3" t="s">
        <v>68</v>
      </c>
      <c r="S406" s="1" t="str">
        <f t="shared" si="12"/>
        <v>Delacroix Wholesale</v>
      </c>
      <c r="V406"/>
      <c r="Z406" s="11" t="s">
        <v>39</v>
      </c>
      <c r="AA406" s="1" t="str">
        <f t="shared" si="13"/>
        <v>Cable Clip 20mm</v>
      </c>
      <c r="AF406"/>
    </row>
    <row r="407" spans="1:32" x14ac:dyDescent="0.3">
      <c r="A407" s="10">
        <v>44363</v>
      </c>
      <c r="B407" s="3" t="s">
        <v>181</v>
      </c>
      <c r="C407" s="11" t="s">
        <v>257</v>
      </c>
      <c r="D407" s="12">
        <v>53.11</v>
      </c>
      <c r="E407" s="1">
        <v>15</v>
      </c>
      <c r="F407" s="13">
        <f>InputData[[#This Row],[QUANTITY]]*InputData[[#This Row],[UNIT PRICE (R)]]</f>
        <v>796.65</v>
      </c>
      <c r="G407" s="1" t="str">
        <f>VLOOKUP(InputData[[#This Row],[CUSTOMER NAME]],Country[],2,0)</f>
        <v>Germany</v>
      </c>
      <c r="H407" s="1" t="str">
        <f>VLOOKUP(InputData[[#This Row],[CUSTOMER NAME]],Country[],3,0)</f>
        <v>Export</v>
      </c>
      <c r="I407" s="1" t="str">
        <f>TEXT(InputData[[#This Row],[DATE]],"mmmm")</f>
        <v>June</v>
      </c>
      <c r="J407" s="1" t="str">
        <f>TEXT(InputData[[#This Row],[DATE]],"ddd")</f>
        <v>Wed</v>
      </c>
      <c r="K407" s="14">
        <f>WEEKNUM(InputData[[#This Row],[DATE]])</f>
        <v>25</v>
      </c>
      <c r="N407"/>
      <c r="R407" s="3" t="s">
        <v>69</v>
      </c>
      <c r="S407" s="1" t="str">
        <f t="shared" si="12"/>
        <v>Southcote Industries</v>
      </c>
      <c r="V407"/>
      <c r="Z407" s="11" t="s">
        <v>15</v>
      </c>
      <c r="AA407" s="1" t="str">
        <f t="shared" si="13"/>
        <v>Rivet 4mm</v>
      </c>
      <c r="AF407"/>
    </row>
    <row r="408" spans="1:32" x14ac:dyDescent="0.3">
      <c r="A408" s="10">
        <v>44363</v>
      </c>
      <c r="B408" s="3" t="s">
        <v>172</v>
      </c>
      <c r="C408" s="11" t="s">
        <v>229</v>
      </c>
      <c r="D408" s="12">
        <v>103.88</v>
      </c>
      <c r="E408" s="1">
        <v>26</v>
      </c>
      <c r="F408" s="13">
        <f>InputData[[#This Row],[QUANTITY]]*InputData[[#This Row],[UNIT PRICE (R)]]</f>
        <v>2700.88</v>
      </c>
      <c r="G408" s="1" t="str">
        <f>VLOOKUP(InputData[[#This Row],[CUSTOMER NAME]],Country[],2,0)</f>
        <v>Mexico</v>
      </c>
      <c r="H408" s="1" t="str">
        <f>VLOOKUP(InputData[[#This Row],[CUSTOMER NAME]],Country[],3,0)</f>
        <v>Export</v>
      </c>
      <c r="I408" s="1" t="str">
        <f>TEXT(InputData[[#This Row],[DATE]],"mmmm")</f>
        <v>June</v>
      </c>
      <c r="J408" s="1" t="str">
        <f>TEXT(InputData[[#This Row],[DATE]],"ddd")</f>
        <v>Wed</v>
      </c>
      <c r="K408" s="14">
        <f>WEEKNUM(InputData[[#This Row],[DATE]])</f>
        <v>25</v>
      </c>
      <c r="N408"/>
      <c r="R408" s="3" t="s">
        <v>103</v>
      </c>
      <c r="S408" s="1" t="str">
        <f t="shared" si="12"/>
        <v>Vesterly Traders</v>
      </c>
      <c r="V408"/>
      <c r="Z408" s="11" t="s">
        <v>29</v>
      </c>
      <c r="AA408" s="1" t="str">
        <f t="shared" si="13"/>
        <v>Butt Hinge 100mm</v>
      </c>
      <c r="AF408"/>
    </row>
    <row r="409" spans="1:32" x14ac:dyDescent="0.3">
      <c r="A409" s="10">
        <v>44364</v>
      </c>
      <c r="B409" s="3" t="s">
        <v>154</v>
      </c>
      <c r="C409" s="11" t="s">
        <v>244</v>
      </c>
      <c r="D409" s="12">
        <v>16.64</v>
      </c>
      <c r="E409" s="1">
        <v>38</v>
      </c>
      <c r="F409" s="13">
        <f>InputData[[#This Row],[QUANTITY]]*InputData[[#This Row],[UNIT PRICE (R)]]</f>
        <v>632.32000000000005</v>
      </c>
      <c r="G409" s="1" t="str">
        <f>VLOOKUP(InputData[[#This Row],[CUSTOMER NAME]],Country[],2,0)</f>
        <v>India</v>
      </c>
      <c r="H409" s="1" t="str">
        <f>VLOOKUP(InputData[[#This Row],[CUSTOMER NAME]],Country[],3,0)</f>
        <v>Central</v>
      </c>
      <c r="I409" s="1" t="str">
        <f>TEXT(InputData[[#This Row],[DATE]],"mmmm")</f>
        <v>June</v>
      </c>
      <c r="J409" s="1" t="str">
        <f>TEXT(InputData[[#This Row],[DATE]],"ddd")</f>
        <v>Thu</v>
      </c>
      <c r="K409" s="14">
        <f>WEEKNUM(InputData[[#This Row],[DATE]])</f>
        <v>25</v>
      </c>
      <c r="N409"/>
      <c r="R409" s="3" t="s">
        <v>77</v>
      </c>
      <c r="S409" s="1" t="str">
        <f t="shared" si="12"/>
        <v>Fenwick Traders</v>
      </c>
      <c r="V409"/>
      <c r="Z409" s="11" t="s">
        <v>1</v>
      </c>
      <c r="AA409" s="1" t="str">
        <f t="shared" si="13"/>
        <v>Hex Bolt M8</v>
      </c>
      <c r="AF409"/>
    </row>
    <row r="410" spans="1:32" x14ac:dyDescent="0.3">
      <c r="A410" s="10">
        <v>44364</v>
      </c>
      <c r="B410" s="3" t="s">
        <v>181</v>
      </c>
      <c r="C410" s="11" t="s">
        <v>247</v>
      </c>
      <c r="D410" s="12">
        <v>210</v>
      </c>
      <c r="E410" s="1">
        <v>24</v>
      </c>
      <c r="F410" s="13">
        <f>InputData[[#This Row],[QUANTITY]]*InputData[[#This Row],[UNIT PRICE (R)]]</f>
        <v>5040</v>
      </c>
      <c r="G410" s="1" t="str">
        <f>VLOOKUP(InputData[[#This Row],[CUSTOMER NAME]],Country[],2,0)</f>
        <v>Germany</v>
      </c>
      <c r="H410" s="1" t="str">
        <f>VLOOKUP(InputData[[#This Row],[CUSTOMER NAME]],Country[],3,0)</f>
        <v>Export</v>
      </c>
      <c r="I410" s="1" t="str">
        <f>TEXT(InputData[[#This Row],[DATE]],"mmmm")</f>
        <v>June</v>
      </c>
      <c r="J410" s="1" t="str">
        <f>TEXT(InputData[[#This Row],[DATE]],"ddd")</f>
        <v>Thu</v>
      </c>
      <c r="K410" s="14">
        <f>WEEKNUM(InputData[[#This Row],[DATE]])</f>
        <v>25</v>
      </c>
      <c r="N410"/>
      <c r="R410" s="3" t="s">
        <v>59</v>
      </c>
      <c r="S410" s="1" t="str">
        <f t="shared" si="12"/>
        <v>Bellview Enterprises</v>
      </c>
      <c r="V410"/>
      <c r="Z410" s="11" t="s">
        <v>16</v>
      </c>
      <c r="AA410" s="1" t="str">
        <f t="shared" si="13"/>
        <v>Blind Rivet 6mm</v>
      </c>
      <c r="AF410"/>
    </row>
    <row r="411" spans="1:32" x14ac:dyDescent="0.3">
      <c r="A411" s="10">
        <v>44365</v>
      </c>
      <c r="B411" s="3" t="s">
        <v>175</v>
      </c>
      <c r="C411" s="11" t="s">
        <v>262</v>
      </c>
      <c r="D411" s="12">
        <v>58.3</v>
      </c>
      <c r="E411" s="1">
        <v>35</v>
      </c>
      <c r="F411" s="13">
        <f>InputData[[#This Row],[QUANTITY]]*InputData[[#This Row],[UNIT PRICE (R)]]</f>
        <v>2040.5</v>
      </c>
      <c r="G411" s="1" t="str">
        <f>VLOOKUP(InputData[[#This Row],[CUSTOMER NAME]],Country[],2,0)</f>
        <v>India</v>
      </c>
      <c r="H411" s="1" t="str">
        <f>VLOOKUP(InputData[[#This Row],[CUSTOMER NAME]],Country[],3,0)</f>
        <v>Western</v>
      </c>
      <c r="I411" s="1" t="str">
        <f>TEXT(InputData[[#This Row],[DATE]],"mmmm")</f>
        <v>June</v>
      </c>
      <c r="J411" s="1" t="str">
        <f>TEXT(InputData[[#This Row],[DATE]],"ddd")</f>
        <v>Fri</v>
      </c>
      <c r="K411" s="14">
        <f>WEEKNUM(InputData[[#This Row],[DATE]])</f>
        <v>25</v>
      </c>
      <c r="N411"/>
      <c r="R411" s="3" t="s">
        <v>103</v>
      </c>
      <c r="S411" s="1" t="str">
        <f t="shared" si="12"/>
        <v>Vesterly Traders</v>
      </c>
      <c r="V411"/>
      <c r="Z411" s="11" t="s">
        <v>19</v>
      </c>
      <c r="AA411" s="1" t="str">
        <f t="shared" si="13"/>
        <v>Anchor Bolt M10</v>
      </c>
      <c r="AF411"/>
    </row>
    <row r="412" spans="1:32" x14ac:dyDescent="0.3">
      <c r="A412" s="10">
        <v>44365</v>
      </c>
      <c r="B412" s="3" t="s">
        <v>153</v>
      </c>
      <c r="C412" s="11" t="s">
        <v>253</v>
      </c>
      <c r="D412" s="12">
        <v>8.33</v>
      </c>
      <c r="E412" s="1">
        <v>13</v>
      </c>
      <c r="F412" s="13">
        <f>InputData[[#This Row],[QUANTITY]]*InputData[[#This Row],[UNIT PRICE (R)]]</f>
        <v>108.29</v>
      </c>
      <c r="G412" s="1" t="str">
        <f>VLOOKUP(InputData[[#This Row],[CUSTOMER NAME]],Country[],2,0)</f>
        <v>Mexico</v>
      </c>
      <c r="H412" s="1" t="str">
        <f>VLOOKUP(InputData[[#This Row],[CUSTOMER NAME]],Country[],3,0)</f>
        <v>Export</v>
      </c>
      <c r="I412" s="1" t="str">
        <f>TEXT(InputData[[#This Row],[DATE]],"mmmm")</f>
        <v>June</v>
      </c>
      <c r="J412" s="1" t="str">
        <f>TEXT(InputData[[#This Row],[DATE]],"ddd")</f>
        <v>Fri</v>
      </c>
      <c r="K412" s="14">
        <f>WEEKNUM(InputData[[#This Row],[DATE]])</f>
        <v>25</v>
      </c>
      <c r="N412"/>
      <c r="R412" s="3" t="s">
        <v>97</v>
      </c>
      <c r="S412" s="1" t="str">
        <f t="shared" si="12"/>
        <v>Stonebridge Commercial</v>
      </c>
      <c r="V412"/>
      <c r="Z412" s="11" t="s">
        <v>34</v>
      </c>
      <c r="AA412" s="1" t="str">
        <f t="shared" si="13"/>
        <v>L-Bracket 75mm</v>
      </c>
      <c r="AF412"/>
    </row>
    <row r="413" spans="1:32" x14ac:dyDescent="0.3">
      <c r="A413" s="10">
        <v>44365</v>
      </c>
      <c r="B413" s="3" t="s">
        <v>162</v>
      </c>
      <c r="C413" s="11" t="s">
        <v>241</v>
      </c>
      <c r="D413" s="12">
        <v>122.08</v>
      </c>
      <c r="E413" s="1">
        <v>5</v>
      </c>
      <c r="F413" s="13">
        <f>InputData[[#This Row],[QUANTITY]]*InputData[[#This Row],[UNIT PRICE (R)]]</f>
        <v>610.4</v>
      </c>
      <c r="G413" s="1" t="str">
        <f>VLOOKUP(InputData[[#This Row],[CUSTOMER NAME]],Country[],2,0)</f>
        <v>United Kingdom</v>
      </c>
      <c r="H413" s="1" t="str">
        <f>VLOOKUP(InputData[[#This Row],[CUSTOMER NAME]],Country[],3,0)</f>
        <v>Export</v>
      </c>
      <c r="I413" s="1" t="str">
        <f>TEXT(InputData[[#This Row],[DATE]],"mmmm")</f>
        <v>June</v>
      </c>
      <c r="J413" s="1" t="str">
        <f>TEXT(InputData[[#This Row],[DATE]],"ddd")</f>
        <v>Fri</v>
      </c>
      <c r="K413" s="14">
        <f>WEEKNUM(InputData[[#This Row],[DATE]])</f>
        <v>25</v>
      </c>
      <c r="N413"/>
      <c r="R413" s="3" t="s">
        <v>58</v>
      </c>
      <c r="S413" s="1" t="str">
        <f t="shared" si="12"/>
        <v>Redwood Mercantile</v>
      </c>
      <c r="V413"/>
      <c r="Z413" s="11" t="s">
        <v>25</v>
      </c>
      <c r="AA413" s="1" t="str">
        <f t="shared" si="13"/>
        <v>Turnbuckle M8</v>
      </c>
      <c r="AF413"/>
    </row>
    <row r="414" spans="1:32" x14ac:dyDescent="0.3">
      <c r="A414" s="10">
        <v>44365</v>
      </c>
      <c r="B414" s="3" t="s">
        <v>163</v>
      </c>
      <c r="C414" s="11" t="s">
        <v>260</v>
      </c>
      <c r="D414" s="12">
        <v>117.48</v>
      </c>
      <c r="E414" s="1">
        <v>8</v>
      </c>
      <c r="F414" s="13">
        <f>InputData[[#This Row],[QUANTITY]]*InputData[[#This Row],[UNIT PRICE (R)]]</f>
        <v>939.84</v>
      </c>
      <c r="G414" s="1" t="str">
        <f>VLOOKUP(InputData[[#This Row],[CUSTOMER NAME]],Country[],2,0)</f>
        <v>South Africa</v>
      </c>
      <c r="H414" s="1" t="str">
        <f>VLOOKUP(InputData[[#This Row],[CUSTOMER NAME]],Country[],3,0)</f>
        <v>Export</v>
      </c>
      <c r="I414" s="1" t="str">
        <f>TEXT(InputData[[#This Row],[DATE]],"mmmm")</f>
        <v>June</v>
      </c>
      <c r="J414" s="1" t="str">
        <f>TEXT(InputData[[#This Row],[DATE]],"ddd")</f>
        <v>Fri</v>
      </c>
      <c r="K414" s="14">
        <f>WEEKNUM(InputData[[#This Row],[DATE]])</f>
        <v>25</v>
      </c>
      <c r="N414"/>
      <c r="R414" s="3" t="s">
        <v>67</v>
      </c>
      <c r="S414" s="1" t="str">
        <f t="shared" si="12"/>
        <v>Ironbridge Trading Co.</v>
      </c>
      <c r="V414"/>
      <c r="Z414" s="11" t="s">
        <v>13</v>
      </c>
      <c r="AA414" s="1" t="str">
        <f t="shared" si="13"/>
        <v>Machine Screw M4</v>
      </c>
      <c r="AF414"/>
    </row>
    <row r="415" spans="1:32" x14ac:dyDescent="0.3">
      <c r="A415" s="10">
        <v>44366</v>
      </c>
      <c r="B415" s="3" t="s">
        <v>151</v>
      </c>
      <c r="C415" s="11" t="s">
        <v>272</v>
      </c>
      <c r="D415" s="12">
        <v>82.08</v>
      </c>
      <c r="E415" s="1">
        <v>11</v>
      </c>
      <c r="F415" s="13">
        <f>InputData[[#This Row],[QUANTITY]]*InputData[[#This Row],[UNIT PRICE (R)]]</f>
        <v>902.88</v>
      </c>
      <c r="G415" s="1" t="str">
        <f>VLOOKUP(InputData[[#This Row],[CUSTOMER NAME]],Country[],2,0)</f>
        <v>Russia</v>
      </c>
      <c r="H415" s="1" t="str">
        <f>VLOOKUP(InputData[[#This Row],[CUSTOMER NAME]],Country[],3,0)</f>
        <v>Export</v>
      </c>
      <c r="I415" s="1" t="str">
        <f>TEXT(InputData[[#This Row],[DATE]],"mmmm")</f>
        <v>June</v>
      </c>
      <c r="J415" s="1" t="str">
        <f>TEXT(InputData[[#This Row],[DATE]],"ddd")</f>
        <v>Sat</v>
      </c>
      <c r="K415" s="14">
        <f>WEEKNUM(InputData[[#This Row],[DATE]])</f>
        <v>25</v>
      </c>
      <c r="N415"/>
      <c r="R415" s="3" t="s">
        <v>68</v>
      </c>
      <c r="S415" s="1" t="str">
        <f t="shared" si="12"/>
        <v>Delacroix Wholesale</v>
      </c>
      <c r="V415"/>
      <c r="Z415" s="11" t="s">
        <v>32</v>
      </c>
      <c r="AA415" s="1" t="str">
        <f t="shared" si="13"/>
        <v>Corner Bracket 50mm</v>
      </c>
      <c r="AF415"/>
    </row>
    <row r="416" spans="1:32" x14ac:dyDescent="0.3">
      <c r="A416" s="10">
        <v>44366</v>
      </c>
      <c r="B416" s="3" t="s">
        <v>156</v>
      </c>
      <c r="C416" s="11" t="s">
        <v>230</v>
      </c>
      <c r="D416" s="12">
        <v>142.80000000000001</v>
      </c>
      <c r="E416" s="1">
        <v>8</v>
      </c>
      <c r="F416" s="13">
        <f>InputData[[#This Row],[QUANTITY]]*InputData[[#This Row],[UNIT PRICE (R)]]</f>
        <v>1142.4000000000001</v>
      </c>
      <c r="G416" s="1" t="str">
        <f>VLOOKUP(InputData[[#This Row],[CUSTOMER NAME]],Country[],2,0)</f>
        <v>India</v>
      </c>
      <c r="H416" s="1" t="str">
        <f>VLOOKUP(InputData[[#This Row],[CUSTOMER NAME]],Country[],3,0)</f>
        <v>East</v>
      </c>
      <c r="I416" s="1" t="str">
        <f>TEXT(InputData[[#This Row],[DATE]],"mmmm")</f>
        <v>June</v>
      </c>
      <c r="J416" s="1" t="str">
        <f>TEXT(InputData[[#This Row],[DATE]],"ddd")</f>
        <v>Sat</v>
      </c>
      <c r="K416" s="14">
        <f>WEEKNUM(InputData[[#This Row],[DATE]])</f>
        <v>25</v>
      </c>
      <c r="N416"/>
      <c r="R416" s="3" t="s">
        <v>56</v>
      </c>
      <c r="S416" s="1" t="str">
        <f t="shared" si="12"/>
        <v>Northgate Industries</v>
      </c>
      <c r="V416"/>
      <c r="Z416" s="11" t="s">
        <v>44</v>
      </c>
      <c r="AA416" s="1" t="str">
        <f t="shared" si="13"/>
        <v>Brass Elbow Joint 20mm</v>
      </c>
      <c r="AF416"/>
    </row>
    <row r="417" spans="1:32" x14ac:dyDescent="0.3">
      <c r="A417" s="10">
        <v>44366</v>
      </c>
      <c r="B417" s="3" t="s">
        <v>159</v>
      </c>
      <c r="C417" s="11" t="s">
        <v>269</v>
      </c>
      <c r="D417" s="12">
        <v>173.88</v>
      </c>
      <c r="E417" s="1">
        <v>5</v>
      </c>
      <c r="F417" s="13">
        <f>InputData[[#This Row],[QUANTITY]]*InputData[[#This Row],[UNIT PRICE (R)]]</f>
        <v>869.4</v>
      </c>
      <c r="G417" s="1" t="str">
        <f>VLOOKUP(InputData[[#This Row],[CUSTOMER NAME]],Country[],2,0)</f>
        <v>Saudi Arabia</v>
      </c>
      <c r="H417" s="1" t="str">
        <f>VLOOKUP(InputData[[#This Row],[CUSTOMER NAME]],Country[],3,0)</f>
        <v>Export</v>
      </c>
      <c r="I417" s="1" t="str">
        <f>TEXT(InputData[[#This Row],[DATE]],"mmmm")</f>
        <v>June</v>
      </c>
      <c r="J417" s="1" t="str">
        <f>TEXT(InputData[[#This Row],[DATE]],"ddd")</f>
        <v>Sat</v>
      </c>
      <c r="K417" s="14">
        <f>WEEKNUM(InputData[[#This Row],[DATE]])</f>
        <v>25</v>
      </c>
      <c r="N417"/>
      <c r="R417" s="3" t="s">
        <v>61</v>
      </c>
      <c r="S417" s="1" t="str">
        <f t="shared" si="12"/>
        <v>Fairstone Retail Group</v>
      </c>
      <c r="V417"/>
      <c r="Z417" s="11" t="s">
        <v>2</v>
      </c>
      <c r="AA417" s="1" t="str">
        <f t="shared" si="13"/>
        <v>Hex Bolt M10</v>
      </c>
      <c r="AF417"/>
    </row>
    <row r="418" spans="1:32" x14ac:dyDescent="0.3">
      <c r="A418" s="10">
        <v>44367</v>
      </c>
      <c r="B418" s="3" t="s">
        <v>148</v>
      </c>
      <c r="C418" s="11" t="s">
        <v>244</v>
      </c>
      <c r="D418" s="12">
        <v>16.64</v>
      </c>
      <c r="E418" s="1">
        <v>1</v>
      </c>
      <c r="F418" s="13">
        <f>InputData[[#This Row],[QUANTITY]]*InputData[[#This Row],[UNIT PRICE (R)]]</f>
        <v>16.64</v>
      </c>
      <c r="G418" s="1" t="str">
        <f>VLOOKUP(InputData[[#This Row],[CUSTOMER NAME]],Country[],2,0)</f>
        <v>Pakistan</v>
      </c>
      <c r="H418" s="1" t="str">
        <f>VLOOKUP(InputData[[#This Row],[CUSTOMER NAME]],Country[],3,0)</f>
        <v>Export</v>
      </c>
      <c r="I418" s="1" t="str">
        <f>TEXT(InputData[[#This Row],[DATE]],"mmmm")</f>
        <v>June</v>
      </c>
      <c r="J418" s="1" t="str">
        <f>TEXT(InputData[[#This Row],[DATE]],"ddd")</f>
        <v>Sun</v>
      </c>
      <c r="K418" s="14">
        <f>WEEKNUM(InputData[[#This Row],[DATE]])</f>
        <v>26</v>
      </c>
      <c r="N418"/>
      <c r="R418" s="3" t="s">
        <v>64</v>
      </c>
      <c r="S418" s="1" t="str">
        <f t="shared" si="12"/>
        <v>Ridgeway Commercial</v>
      </c>
      <c r="V418"/>
      <c r="Z418" s="11" t="s">
        <v>41</v>
      </c>
      <c r="AA418" s="1" t="str">
        <f t="shared" si="13"/>
        <v>PVC Elbow 20mm</v>
      </c>
      <c r="AF418"/>
    </row>
    <row r="419" spans="1:32" x14ac:dyDescent="0.3">
      <c r="A419" s="10">
        <v>44367</v>
      </c>
      <c r="B419" s="3" t="s">
        <v>172</v>
      </c>
      <c r="C419" s="11" t="s">
        <v>239</v>
      </c>
      <c r="D419" s="12">
        <v>48.4</v>
      </c>
      <c r="E419" s="1">
        <v>30</v>
      </c>
      <c r="F419" s="13">
        <f>InputData[[#This Row],[QUANTITY]]*InputData[[#This Row],[UNIT PRICE (R)]]</f>
        <v>1452</v>
      </c>
      <c r="G419" s="1" t="str">
        <f>VLOOKUP(InputData[[#This Row],[CUSTOMER NAME]],Country[],2,0)</f>
        <v>Mexico</v>
      </c>
      <c r="H419" s="1" t="str">
        <f>VLOOKUP(InputData[[#This Row],[CUSTOMER NAME]],Country[],3,0)</f>
        <v>Export</v>
      </c>
      <c r="I419" s="1" t="str">
        <f>TEXT(InputData[[#This Row],[DATE]],"mmmm")</f>
        <v>June</v>
      </c>
      <c r="J419" s="1" t="str">
        <f>TEXT(InputData[[#This Row],[DATE]],"ddd")</f>
        <v>Sun</v>
      </c>
      <c r="K419" s="14">
        <f>WEEKNUM(InputData[[#This Row],[DATE]])</f>
        <v>26</v>
      </c>
      <c r="N419"/>
      <c r="R419" s="3" t="s">
        <v>53</v>
      </c>
      <c r="S419" s="1" t="str">
        <f t="shared" si="12"/>
        <v>Vantage Point Retailers</v>
      </c>
      <c r="V419"/>
      <c r="Z419" s="11" t="s">
        <v>16</v>
      </c>
      <c r="AA419" s="1" t="str">
        <f t="shared" si="13"/>
        <v>Blind Rivet 6mm</v>
      </c>
      <c r="AF419"/>
    </row>
    <row r="420" spans="1:32" x14ac:dyDescent="0.3">
      <c r="A420" s="10">
        <v>44368</v>
      </c>
      <c r="B420" s="3" t="s">
        <v>175</v>
      </c>
      <c r="C420" s="11" t="s">
        <v>245</v>
      </c>
      <c r="D420" s="12">
        <v>156.78</v>
      </c>
      <c r="E420" s="1">
        <v>14</v>
      </c>
      <c r="F420" s="13">
        <f>InputData[[#This Row],[QUANTITY]]*InputData[[#This Row],[UNIT PRICE (R)]]</f>
        <v>2194.92</v>
      </c>
      <c r="G420" s="1" t="str">
        <f>VLOOKUP(InputData[[#This Row],[CUSTOMER NAME]],Country[],2,0)</f>
        <v>India</v>
      </c>
      <c r="H420" s="1" t="str">
        <f>VLOOKUP(InputData[[#This Row],[CUSTOMER NAME]],Country[],3,0)</f>
        <v>Western</v>
      </c>
      <c r="I420" s="1" t="str">
        <f>TEXT(InputData[[#This Row],[DATE]],"mmmm")</f>
        <v>June</v>
      </c>
      <c r="J420" s="1" t="str">
        <f>TEXT(InputData[[#This Row],[DATE]],"ddd")</f>
        <v>Mon</v>
      </c>
      <c r="K420" s="14">
        <f>WEEKNUM(InputData[[#This Row],[DATE]])</f>
        <v>26</v>
      </c>
      <c r="N420"/>
      <c r="R420" s="3" t="s">
        <v>77</v>
      </c>
      <c r="S420" s="1" t="str">
        <f t="shared" si="12"/>
        <v>Fenwick Traders</v>
      </c>
      <c r="V420"/>
      <c r="Z420" s="11" t="s">
        <v>11</v>
      </c>
      <c r="AA420" s="1" t="str">
        <f t="shared" si="13"/>
        <v>Wood Screw 40mm</v>
      </c>
      <c r="AF420"/>
    </row>
    <row r="421" spans="1:32" x14ac:dyDescent="0.3">
      <c r="A421" s="10">
        <v>44369</v>
      </c>
      <c r="B421" s="3" t="s">
        <v>143</v>
      </c>
      <c r="C421" s="11" t="s">
        <v>229</v>
      </c>
      <c r="D421" s="12">
        <v>103.88</v>
      </c>
      <c r="E421" s="1">
        <v>4</v>
      </c>
      <c r="F421" s="13">
        <f>InputData[[#This Row],[QUANTITY]]*InputData[[#This Row],[UNIT PRICE (R)]]</f>
        <v>415.52</v>
      </c>
      <c r="G421" s="1" t="str">
        <f>VLOOKUP(InputData[[#This Row],[CUSTOMER NAME]],Country[],2,0)</f>
        <v>Nigeria</v>
      </c>
      <c r="H421" s="1" t="str">
        <f>VLOOKUP(InputData[[#This Row],[CUSTOMER NAME]],Country[],3,0)</f>
        <v>Export</v>
      </c>
      <c r="I421" s="1" t="str">
        <f>TEXT(InputData[[#This Row],[DATE]],"mmmm")</f>
        <v>June</v>
      </c>
      <c r="J421" s="1" t="str">
        <f>TEXT(InputData[[#This Row],[DATE]],"ddd")</f>
        <v>Tue</v>
      </c>
      <c r="K421" s="14">
        <f>WEEKNUM(InputData[[#This Row],[DATE]])</f>
        <v>26</v>
      </c>
      <c r="N421"/>
      <c r="R421" s="3" t="s">
        <v>97</v>
      </c>
      <c r="S421" s="1" t="str">
        <f t="shared" si="12"/>
        <v>Stonebridge Commercial</v>
      </c>
      <c r="V421"/>
      <c r="Z421" s="11" t="s">
        <v>17</v>
      </c>
      <c r="AA421" s="1" t="str">
        <f t="shared" si="13"/>
        <v>Cotter Pin 3mm</v>
      </c>
      <c r="AF421"/>
    </row>
    <row r="422" spans="1:32" x14ac:dyDescent="0.3">
      <c r="A422" s="10">
        <v>44369</v>
      </c>
      <c r="B422" s="3" t="s">
        <v>150</v>
      </c>
      <c r="C422" s="11" t="s">
        <v>268</v>
      </c>
      <c r="D422" s="12">
        <v>115.2</v>
      </c>
      <c r="E422" s="1">
        <v>10</v>
      </c>
      <c r="F422" s="13">
        <f>InputData[[#This Row],[QUANTITY]]*InputData[[#This Row],[UNIT PRICE (R)]]</f>
        <v>1152</v>
      </c>
      <c r="G422" s="1" t="str">
        <f>VLOOKUP(InputData[[#This Row],[CUSTOMER NAME]],Country[],2,0)</f>
        <v>United Kingdom</v>
      </c>
      <c r="H422" s="1" t="str">
        <f>VLOOKUP(InputData[[#This Row],[CUSTOMER NAME]],Country[],3,0)</f>
        <v>Export</v>
      </c>
      <c r="I422" s="1" t="str">
        <f>TEXT(InputData[[#This Row],[DATE]],"mmmm")</f>
        <v>June</v>
      </c>
      <c r="J422" s="1" t="str">
        <f>TEXT(InputData[[#This Row],[DATE]],"ddd")</f>
        <v>Tue</v>
      </c>
      <c r="K422" s="14">
        <f>WEEKNUM(InputData[[#This Row],[DATE]])</f>
        <v>26</v>
      </c>
      <c r="N422"/>
      <c r="R422" s="3" t="s">
        <v>48</v>
      </c>
      <c r="S422" s="1" t="str">
        <f t="shared" si="12"/>
        <v>Thornwell Trading</v>
      </c>
      <c r="V422"/>
      <c r="Z422" s="11" t="s">
        <v>1</v>
      </c>
      <c r="AA422" s="1" t="str">
        <f t="shared" si="13"/>
        <v>Hex Bolt M8</v>
      </c>
      <c r="AF422"/>
    </row>
    <row r="423" spans="1:32" x14ac:dyDescent="0.3">
      <c r="A423" s="10">
        <v>44370</v>
      </c>
      <c r="B423" s="3" t="s">
        <v>157</v>
      </c>
      <c r="C423" s="11" t="s">
        <v>244</v>
      </c>
      <c r="D423" s="12">
        <v>16.64</v>
      </c>
      <c r="E423" s="1">
        <v>4</v>
      </c>
      <c r="F423" s="13">
        <f>InputData[[#This Row],[QUANTITY]]*InputData[[#This Row],[UNIT PRICE (R)]]</f>
        <v>66.56</v>
      </c>
      <c r="G423" s="1" t="str">
        <f>VLOOKUP(InputData[[#This Row],[CUSTOMER NAME]],Country[],2,0)</f>
        <v>Brazil</v>
      </c>
      <c r="H423" s="1" t="str">
        <f>VLOOKUP(InputData[[#This Row],[CUSTOMER NAME]],Country[],3,0)</f>
        <v>Export</v>
      </c>
      <c r="I423" s="1" t="str">
        <f>TEXT(InputData[[#This Row],[DATE]],"mmmm")</f>
        <v>June</v>
      </c>
      <c r="J423" s="1" t="str">
        <f>TEXT(InputData[[#This Row],[DATE]],"ddd")</f>
        <v>Wed</v>
      </c>
      <c r="K423" s="14">
        <f>WEEKNUM(InputData[[#This Row],[DATE]])</f>
        <v>26</v>
      </c>
      <c r="N423"/>
      <c r="R423" s="3" t="s">
        <v>55</v>
      </c>
      <c r="S423" s="1" t="str">
        <f t="shared" si="12"/>
        <v>Silverline Wholesalers</v>
      </c>
      <c r="V423"/>
      <c r="Z423" s="11" t="s">
        <v>40</v>
      </c>
      <c r="AA423" s="1" t="str">
        <f t="shared" si="13"/>
        <v>Conduit Clamp 25mm</v>
      </c>
      <c r="AF423"/>
    </row>
    <row r="424" spans="1:32" x14ac:dyDescent="0.3">
      <c r="A424" s="10">
        <v>44370</v>
      </c>
      <c r="B424" s="3" t="s">
        <v>167</v>
      </c>
      <c r="C424" s="11" t="s">
        <v>236</v>
      </c>
      <c r="D424" s="12">
        <v>94.62</v>
      </c>
      <c r="E424" s="1">
        <v>22</v>
      </c>
      <c r="F424" s="13">
        <f>InputData[[#This Row],[QUANTITY]]*InputData[[#This Row],[UNIT PRICE (R)]]</f>
        <v>2081.6400000000003</v>
      </c>
      <c r="G424" s="1" t="str">
        <f>VLOOKUP(InputData[[#This Row],[CUSTOMER NAME]],Country[],2,0)</f>
        <v>Ethiopia</v>
      </c>
      <c r="H424" s="1" t="str">
        <f>VLOOKUP(InputData[[#This Row],[CUSTOMER NAME]],Country[],3,0)</f>
        <v>Export</v>
      </c>
      <c r="I424" s="1" t="str">
        <f>TEXT(InputData[[#This Row],[DATE]],"mmmm")</f>
        <v>June</v>
      </c>
      <c r="J424" s="1" t="str">
        <f>TEXT(InputData[[#This Row],[DATE]],"ddd")</f>
        <v>Wed</v>
      </c>
      <c r="K424" s="14">
        <f>WEEKNUM(InputData[[#This Row],[DATE]])</f>
        <v>26</v>
      </c>
      <c r="N424"/>
      <c r="R424" s="3" t="s">
        <v>62</v>
      </c>
      <c r="S424" s="1" t="str">
        <f t="shared" si="12"/>
        <v>Marchbank Traders</v>
      </c>
      <c r="V424"/>
      <c r="Z424" s="11" t="s">
        <v>16</v>
      </c>
      <c r="AA424" s="1" t="str">
        <f t="shared" si="13"/>
        <v>Blind Rivet 6mm</v>
      </c>
      <c r="AF424"/>
    </row>
    <row r="425" spans="1:32" x14ac:dyDescent="0.3">
      <c r="A425" s="10">
        <v>44370</v>
      </c>
      <c r="B425" s="3" t="s">
        <v>172</v>
      </c>
      <c r="C425" s="11" t="s">
        <v>232</v>
      </c>
      <c r="D425" s="12">
        <v>48.84</v>
      </c>
      <c r="E425" s="1">
        <v>8</v>
      </c>
      <c r="F425" s="13">
        <f>InputData[[#This Row],[QUANTITY]]*InputData[[#This Row],[UNIT PRICE (R)]]</f>
        <v>390.72</v>
      </c>
      <c r="G425" s="1" t="str">
        <f>VLOOKUP(InputData[[#This Row],[CUSTOMER NAME]],Country[],2,0)</f>
        <v>Mexico</v>
      </c>
      <c r="H425" s="1" t="str">
        <f>VLOOKUP(InputData[[#This Row],[CUSTOMER NAME]],Country[],3,0)</f>
        <v>Export</v>
      </c>
      <c r="I425" s="1" t="str">
        <f>TEXT(InputData[[#This Row],[DATE]],"mmmm")</f>
        <v>June</v>
      </c>
      <c r="J425" s="1" t="str">
        <f>TEXT(InputData[[#This Row],[DATE]],"ddd")</f>
        <v>Wed</v>
      </c>
      <c r="K425" s="14">
        <f>WEEKNUM(InputData[[#This Row],[DATE]])</f>
        <v>26</v>
      </c>
      <c r="N425"/>
      <c r="R425" s="3" t="s">
        <v>72</v>
      </c>
      <c r="S425" s="1" t="str">
        <f t="shared" si="12"/>
        <v>Hendricks Mercantile</v>
      </c>
      <c r="V425"/>
      <c r="Z425" s="11" t="s">
        <v>8</v>
      </c>
      <c r="AA425" s="1" t="str">
        <f t="shared" si="13"/>
        <v>Flat Washer M10</v>
      </c>
      <c r="AF425"/>
    </row>
    <row r="426" spans="1:32" x14ac:dyDescent="0.3">
      <c r="A426" s="10">
        <v>44371</v>
      </c>
      <c r="B426" s="3" t="s">
        <v>153</v>
      </c>
      <c r="C426" s="11" t="s">
        <v>268</v>
      </c>
      <c r="D426" s="12">
        <v>115.2</v>
      </c>
      <c r="E426" s="1">
        <v>10</v>
      </c>
      <c r="F426" s="13">
        <f>InputData[[#This Row],[QUANTITY]]*InputData[[#This Row],[UNIT PRICE (R)]]</f>
        <v>1152</v>
      </c>
      <c r="G426" s="1" t="str">
        <f>VLOOKUP(InputData[[#This Row],[CUSTOMER NAME]],Country[],2,0)</f>
        <v>Mexico</v>
      </c>
      <c r="H426" s="1" t="str">
        <f>VLOOKUP(InputData[[#This Row],[CUSTOMER NAME]],Country[],3,0)</f>
        <v>Export</v>
      </c>
      <c r="I426" s="1" t="str">
        <f>TEXT(InputData[[#This Row],[DATE]],"mmmm")</f>
        <v>June</v>
      </c>
      <c r="J426" s="1" t="str">
        <f>TEXT(InputData[[#This Row],[DATE]],"ddd")</f>
        <v>Thu</v>
      </c>
      <c r="K426" s="14">
        <f>WEEKNUM(InputData[[#This Row],[DATE]])</f>
        <v>26</v>
      </c>
      <c r="N426"/>
      <c r="R426" s="3" t="s">
        <v>77</v>
      </c>
      <c r="S426" s="1" t="str">
        <f t="shared" si="12"/>
        <v>Fenwick Traders</v>
      </c>
      <c r="V426"/>
      <c r="Z426" s="11" t="s">
        <v>4</v>
      </c>
      <c r="AA426" s="1" t="str">
        <f t="shared" si="13"/>
        <v>Carriage Bolt M8</v>
      </c>
      <c r="AF426"/>
    </row>
    <row r="427" spans="1:32" x14ac:dyDescent="0.3">
      <c r="A427" s="10">
        <v>44371</v>
      </c>
      <c r="B427" s="3" t="s">
        <v>154</v>
      </c>
      <c r="C427" s="11" t="s">
        <v>239</v>
      </c>
      <c r="D427" s="12">
        <v>48.4</v>
      </c>
      <c r="E427" s="1">
        <v>13</v>
      </c>
      <c r="F427" s="13">
        <f>InputData[[#This Row],[QUANTITY]]*InputData[[#This Row],[UNIT PRICE (R)]]</f>
        <v>629.19999999999993</v>
      </c>
      <c r="G427" s="1" t="str">
        <f>VLOOKUP(InputData[[#This Row],[CUSTOMER NAME]],Country[],2,0)</f>
        <v>India</v>
      </c>
      <c r="H427" s="1" t="str">
        <f>VLOOKUP(InputData[[#This Row],[CUSTOMER NAME]],Country[],3,0)</f>
        <v>Central</v>
      </c>
      <c r="I427" s="1" t="str">
        <f>TEXT(InputData[[#This Row],[DATE]],"mmmm")</f>
        <v>June</v>
      </c>
      <c r="J427" s="1" t="str">
        <f>TEXT(InputData[[#This Row],[DATE]],"ddd")</f>
        <v>Thu</v>
      </c>
      <c r="K427" s="14">
        <f>WEEKNUM(InputData[[#This Row],[DATE]])</f>
        <v>26</v>
      </c>
      <c r="N427"/>
      <c r="R427" s="3" t="s">
        <v>58</v>
      </c>
      <c r="S427" s="1" t="str">
        <f t="shared" si="12"/>
        <v>Redwood Mercantile</v>
      </c>
      <c r="V427"/>
      <c r="Z427" s="11" t="s">
        <v>40</v>
      </c>
      <c r="AA427" s="1" t="str">
        <f t="shared" si="13"/>
        <v>Conduit Clamp 25mm</v>
      </c>
      <c r="AF427"/>
    </row>
    <row r="428" spans="1:32" x14ac:dyDescent="0.3">
      <c r="A428" s="10">
        <v>44371</v>
      </c>
      <c r="B428" s="3" t="s">
        <v>164</v>
      </c>
      <c r="C428" s="11" t="s">
        <v>248</v>
      </c>
      <c r="D428" s="12">
        <v>76.25</v>
      </c>
      <c r="E428" s="1">
        <v>23</v>
      </c>
      <c r="F428" s="13">
        <f>InputData[[#This Row],[QUANTITY]]*InputData[[#This Row],[UNIT PRICE (R)]]</f>
        <v>1753.75</v>
      </c>
      <c r="G428" s="1" t="str">
        <f>VLOOKUP(InputData[[#This Row],[CUSTOMER NAME]],Country[],2,0)</f>
        <v>India</v>
      </c>
      <c r="H428" s="1" t="str">
        <f>VLOOKUP(InputData[[#This Row],[CUSTOMER NAME]],Country[],3,0)</f>
        <v>East</v>
      </c>
      <c r="I428" s="1" t="str">
        <f>TEXT(InputData[[#This Row],[DATE]],"mmmm")</f>
        <v>June</v>
      </c>
      <c r="J428" s="1" t="str">
        <f>TEXT(InputData[[#This Row],[DATE]],"ddd")</f>
        <v>Thu</v>
      </c>
      <c r="K428" s="14">
        <f>WEEKNUM(InputData[[#This Row],[DATE]])</f>
        <v>26</v>
      </c>
      <c r="N428"/>
      <c r="R428" s="3" t="s">
        <v>59</v>
      </c>
      <c r="S428" s="1" t="str">
        <f t="shared" si="12"/>
        <v>Bellview Enterprises</v>
      </c>
      <c r="V428"/>
      <c r="Z428" s="11" t="s">
        <v>11</v>
      </c>
      <c r="AA428" s="1" t="str">
        <f t="shared" si="13"/>
        <v>Wood Screw 40mm</v>
      </c>
      <c r="AF428"/>
    </row>
    <row r="429" spans="1:32" x14ac:dyDescent="0.3">
      <c r="A429" s="10">
        <v>44371</v>
      </c>
      <c r="B429" s="3" t="s">
        <v>170</v>
      </c>
      <c r="C429" s="11" t="s">
        <v>246</v>
      </c>
      <c r="D429" s="12">
        <v>49.21</v>
      </c>
      <c r="E429" s="1">
        <v>7</v>
      </c>
      <c r="F429" s="13">
        <f>InputData[[#This Row],[QUANTITY]]*InputData[[#This Row],[UNIT PRICE (R)]]</f>
        <v>344.47</v>
      </c>
      <c r="G429" s="1" t="str">
        <f>VLOOKUP(InputData[[#This Row],[CUSTOMER NAME]],Country[],2,0)</f>
        <v>France</v>
      </c>
      <c r="H429" s="1" t="str">
        <f>VLOOKUP(InputData[[#This Row],[CUSTOMER NAME]],Country[],3,0)</f>
        <v>Export</v>
      </c>
      <c r="I429" s="1" t="str">
        <f>TEXT(InputData[[#This Row],[DATE]],"mmmm")</f>
        <v>June</v>
      </c>
      <c r="J429" s="1" t="str">
        <f>TEXT(InputData[[#This Row],[DATE]],"ddd")</f>
        <v>Thu</v>
      </c>
      <c r="K429" s="14">
        <f>WEEKNUM(InputData[[#This Row],[DATE]])</f>
        <v>26</v>
      </c>
      <c r="N429"/>
      <c r="R429" s="3" t="s">
        <v>69</v>
      </c>
      <c r="S429" s="1" t="str">
        <f t="shared" si="12"/>
        <v>Southcote Industries</v>
      </c>
      <c r="V429"/>
      <c r="Z429" s="11" t="s">
        <v>20</v>
      </c>
      <c r="AA429" s="1" t="str">
        <f t="shared" si="13"/>
        <v>Toggle Bolt M6</v>
      </c>
      <c r="AF429"/>
    </row>
    <row r="430" spans="1:32" x14ac:dyDescent="0.3">
      <c r="A430" s="10">
        <v>44372</v>
      </c>
      <c r="B430" s="3" t="s">
        <v>154</v>
      </c>
      <c r="C430" s="11" t="s">
        <v>240</v>
      </c>
      <c r="D430" s="12">
        <v>94.17</v>
      </c>
      <c r="E430" s="1">
        <v>7</v>
      </c>
      <c r="F430" s="13">
        <f>InputData[[#This Row],[QUANTITY]]*InputData[[#This Row],[UNIT PRICE (R)]]</f>
        <v>659.19</v>
      </c>
      <c r="G430" s="1" t="str">
        <f>VLOOKUP(InputData[[#This Row],[CUSTOMER NAME]],Country[],2,0)</f>
        <v>India</v>
      </c>
      <c r="H430" s="1" t="str">
        <f>VLOOKUP(InputData[[#This Row],[CUSTOMER NAME]],Country[],3,0)</f>
        <v>Central</v>
      </c>
      <c r="I430" s="1" t="str">
        <f>TEXT(InputData[[#This Row],[DATE]],"mmmm")</f>
        <v>June</v>
      </c>
      <c r="J430" s="1" t="str">
        <f>TEXT(InputData[[#This Row],[DATE]],"ddd")</f>
        <v>Fri</v>
      </c>
      <c r="K430" s="14">
        <f>WEEKNUM(InputData[[#This Row],[DATE]])</f>
        <v>26</v>
      </c>
      <c r="N430"/>
      <c r="R430" s="3" t="s">
        <v>75</v>
      </c>
      <c r="S430" s="1" t="str">
        <f t="shared" si="12"/>
        <v>Cranfield &amp; Co.</v>
      </c>
      <c r="V430"/>
      <c r="Z430" s="11" t="s">
        <v>18</v>
      </c>
      <c r="AA430" s="1" t="str">
        <f t="shared" si="13"/>
        <v>Split Pin 5mm</v>
      </c>
      <c r="AF430"/>
    </row>
    <row r="431" spans="1:32" x14ac:dyDescent="0.3">
      <c r="A431" s="10">
        <v>44373</v>
      </c>
      <c r="B431" s="3" t="s">
        <v>148</v>
      </c>
      <c r="C431" s="11" t="s">
        <v>271</v>
      </c>
      <c r="D431" s="12">
        <v>83.08</v>
      </c>
      <c r="E431" s="1">
        <v>12</v>
      </c>
      <c r="F431" s="13">
        <f>InputData[[#This Row],[QUANTITY]]*InputData[[#This Row],[UNIT PRICE (R)]]</f>
        <v>996.96</v>
      </c>
      <c r="G431" s="1" t="str">
        <f>VLOOKUP(InputData[[#This Row],[CUSTOMER NAME]],Country[],2,0)</f>
        <v>Pakistan</v>
      </c>
      <c r="H431" s="1" t="str">
        <f>VLOOKUP(InputData[[#This Row],[CUSTOMER NAME]],Country[],3,0)</f>
        <v>Export</v>
      </c>
      <c r="I431" s="1" t="str">
        <f>TEXT(InputData[[#This Row],[DATE]],"mmmm")</f>
        <v>June</v>
      </c>
      <c r="J431" s="1" t="str">
        <f>TEXT(InputData[[#This Row],[DATE]],"ddd")</f>
        <v>Sat</v>
      </c>
      <c r="K431" s="14">
        <f>WEEKNUM(InputData[[#This Row],[DATE]])</f>
        <v>26</v>
      </c>
      <c r="N431"/>
      <c r="R431" s="3" t="s">
        <v>59</v>
      </c>
      <c r="S431" s="1" t="str">
        <f t="shared" si="12"/>
        <v>Bellview Enterprises</v>
      </c>
      <c r="V431"/>
      <c r="Z431" s="11" t="s">
        <v>12</v>
      </c>
      <c r="AA431" s="1" t="str">
        <f t="shared" si="13"/>
        <v>Drywall Screw 30mm</v>
      </c>
      <c r="AF431"/>
    </row>
    <row r="432" spans="1:32" x14ac:dyDescent="0.3">
      <c r="A432" s="10">
        <v>44373</v>
      </c>
      <c r="B432" s="3" t="s">
        <v>168</v>
      </c>
      <c r="C432" s="11" t="s">
        <v>237</v>
      </c>
      <c r="D432" s="12">
        <v>7.8599999999999994</v>
      </c>
      <c r="E432" s="1">
        <v>7</v>
      </c>
      <c r="F432" s="13">
        <f>InputData[[#This Row],[QUANTITY]]*InputData[[#This Row],[UNIT PRICE (R)]]</f>
        <v>55.019999999999996</v>
      </c>
      <c r="G432" s="1" t="str">
        <f>VLOOKUP(InputData[[#This Row],[CUSTOMER NAME]],Country[],2,0)</f>
        <v>India</v>
      </c>
      <c r="H432" s="1" t="str">
        <f>VLOOKUP(InputData[[#This Row],[CUSTOMER NAME]],Country[],3,0)</f>
        <v>Northeast</v>
      </c>
      <c r="I432" s="1" t="str">
        <f>TEXT(InputData[[#This Row],[DATE]],"mmmm")</f>
        <v>June</v>
      </c>
      <c r="J432" s="1" t="str">
        <f>TEXT(InputData[[#This Row],[DATE]],"ddd")</f>
        <v>Sat</v>
      </c>
      <c r="K432" s="14">
        <f>WEEKNUM(InputData[[#This Row],[DATE]])</f>
        <v>26</v>
      </c>
      <c r="N432"/>
      <c r="R432" s="3" t="s">
        <v>53</v>
      </c>
      <c r="S432" s="1" t="str">
        <f t="shared" si="12"/>
        <v>Vantage Point Retailers</v>
      </c>
      <c r="V432"/>
      <c r="Z432" s="11" t="s">
        <v>43</v>
      </c>
      <c r="AA432" s="1" t="str">
        <f t="shared" si="13"/>
        <v>Copper Pipe Fitting 15mm</v>
      </c>
      <c r="AF432"/>
    </row>
    <row r="433" spans="1:32" x14ac:dyDescent="0.3">
      <c r="A433" s="10">
        <v>44373</v>
      </c>
      <c r="B433" s="3" t="s">
        <v>172</v>
      </c>
      <c r="C433" s="11" t="s">
        <v>262</v>
      </c>
      <c r="D433" s="12">
        <v>58.3</v>
      </c>
      <c r="E433" s="1">
        <v>4</v>
      </c>
      <c r="F433" s="13">
        <f>InputData[[#This Row],[QUANTITY]]*InputData[[#This Row],[UNIT PRICE (R)]]</f>
        <v>233.2</v>
      </c>
      <c r="G433" s="1" t="str">
        <f>VLOOKUP(InputData[[#This Row],[CUSTOMER NAME]],Country[],2,0)</f>
        <v>Mexico</v>
      </c>
      <c r="H433" s="1" t="str">
        <f>VLOOKUP(InputData[[#This Row],[CUSTOMER NAME]],Country[],3,0)</f>
        <v>Export</v>
      </c>
      <c r="I433" s="1" t="str">
        <f>TEXT(InputData[[#This Row],[DATE]],"mmmm")</f>
        <v>June</v>
      </c>
      <c r="J433" s="1" t="str">
        <f>TEXT(InputData[[#This Row],[DATE]],"ddd")</f>
        <v>Sat</v>
      </c>
      <c r="K433" s="14">
        <f>WEEKNUM(InputData[[#This Row],[DATE]])</f>
        <v>26</v>
      </c>
      <c r="N433"/>
      <c r="R433" s="3" t="s">
        <v>73</v>
      </c>
      <c r="S433" s="1" t="str">
        <f t="shared" si="12"/>
        <v>Ashworth Trading Group</v>
      </c>
      <c r="V433"/>
      <c r="Z433" s="11" t="s">
        <v>9</v>
      </c>
      <c r="AA433" s="1" t="str">
        <f t="shared" si="13"/>
        <v>Threaded Rod M12</v>
      </c>
      <c r="AF433"/>
    </row>
    <row r="434" spans="1:32" x14ac:dyDescent="0.3">
      <c r="A434" s="10">
        <v>44374</v>
      </c>
      <c r="B434" s="3" t="s">
        <v>170</v>
      </c>
      <c r="C434" s="11" t="s">
        <v>233</v>
      </c>
      <c r="D434" s="12">
        <v>155.61000000000001</v>
      </c>
      <c r="E434" s="1">
        <v>11</v>
      </c>
      <c r="F434" s="13">
        <f>InputData[[#This Row],[QUANTITY]]*InputData[[#This Row],[UNIT PRICE (R)]]</f>
        <v>1711.71</v>
      </c>
      <c r="G434" s="1" t="str">
        <f>VLOOKUP(InputData[[#This Row],[CUSTOMER NAME]],Country[],2,0)</f>
        <v>France</v>
      </c>
      <c r="H434" s="1" t="str">
        <f>VLOOKUP(InputData[[#This Row],[CUSTOMER NAME]],Country[],3,0)</f>
        <v>Export</v>
      </c>
      <c r="I434" s="1" t="str">
        <f>TEXT(InputData[[#This Row],[DATE]],"mmmm")</f>
        <v>June</v>
      </c>
      <c r="J434" s="1" t="str">
        <f>TEXT(InputData[[#This Row],[DATE]],"ddd")</f>
        <v>Sun</v>
      </c>
      <c r="K434" s="14">
        <f>WEEKNUM(InputData[[#This Row],[DATE]])</f>
        <v>27</v>
      </c>
      <c r="N434"/>
      <c r="R434" s="3" t="s">
        <v>77</v>
      </c>
      <c r="S434" s="1" t="str">
        <f t="shared" si="12"/>
        <v>Fenwick Traders</v>
      </c>
      <c r="V434"/>
      <c r="Z434" s="11" t="s">
        <v>34</v>
      </c>
      <c r="AA434" s="1" t="str">
        <f t="shared" si="13"/>
        <v>L-Bracket 75mm</v>
      </c>
      <c r="AF434"/>
    </row>
    <row r="435" spans="1:32" x14ac:dyDescent="0.3">
      <c r="A435" s="10">
        <v>44375</v>
      </c>
      <c r="B435" s="3" t="s">
        <v>148</v>
      </c>
      <c r="C435" s="11" t="s">
        <v>249</v>
      </c>
      <c r="D435" s="12">
        <v>162.54</v>
      </c>
      <c r="E435" s="1">
        <v>2</v>
      </c>
      <c r="F435" s="13">
        <f>InputData[[#This Row],[QUANTITY]]*InputData[[#This Row],[UNIT PRICE (R)]]</f>
        <v>325.08</v>
      </c>
      <c r="G435" s="1" t="str">
        <f>VLOOKUP(InputData[[#This Row],[CUSTOMER NAME]],Country[],2,0)</f>
        <v>Pakistan</v>
      </c>
      <c r="H435" s="1" t="str">
        <f>VLOOKUP(InputData[[#This Row],[CUSTOMER NAME]],Country[],3,0)</f>
        <v>Export</v>
      </c>
      <c r="I435" s="1" t="str">
        <f>TEXT(InputData[[#This Row],[DATE]],"mmmm")</f>
        <v>June</v>
      </c>
      <c r="J435" s="1" t="str">
        <f>TEXT(InputData[[#This Row],[DATE]],"ddd")</f>
        <v>Mon</v>
      </c>
      <c r="K435" s="14">
        <f>WEEKNUM(InputData[[#This Row],[DATE]])</f>
        <v>27</v>
      </c>
      <c r="N435"/>
      <c r="R435" s="3" t="s">
        <v>75</v>
      </c>
      <c r="S435" s="1" t="str">
        <f t="shared" si="12"/>
        <v>Cranfield &amp; Co.</v>
      </c>
      <c r="V435"/>
      <c r="Z435" s="11" t="s">
        <v>5</v>
      </c>
      <c r="AA435" s="1" t="str">
        <f t="shared" si="13"/>
        <v>Wing Nut M6</v>
      </c>
      <c r="AF435"/>
    </row>
    <row r="436" spans="1:32" x14ac:dyDescent="0.3">
      <c r="A436" s="10">
        <v>44375</v>
      </c>
      <c r="B436" s="3" t="s">
        <v>161</v>
      </c>
      <c r="C436" s="11" t="s">
        <v>263</v>
      </c>
      <c r="D436" s="12">
        <v>6.7</v>
      </c>
      <c r="E436" s="1">
        <v>7</v>
      </c>
      <c r="F436" s="13">
        <f>InputData[[#This Row],[QUANTITY]]*InputData[[#This Row],[UNIT PRICE (R)]]</f>
        <v>46.9</v>
      </c>
      <c r="G436" s="1" t="str">
        <f>VLOOKUP(InputData[[#This Row],[CUSTOMER NAME]],Country[],2,0)</f>
        <v>India</v>
      </c>
      <c r="H436" s="1" t="str">
        <f>VLOOKUP(InputData[[#This Row],[CUSTOMER NAME]],Country[],3,0)</f>
        <v>Central</v>
      </c>
      <c r="I436" s="1" t="str">
        <f>TEXT(InputData[[#This Row],[DATE]],"mmmm")</f>
        <v>June</v>
      </c>
      <c r="J436" s="1" t="str">
        <f>TEXT(InputData[[#This Row],[DATE]],"ddd")</f>
        <v>Mon</v>
      </c>
      <c r="K436" s="14">
        <f>WEEKNUM(InputData[[#This Row],[DATE]])</f>
        <v>27</v>
      </c>
      <c r="N436"/>
      <c r="R436" s="3" t="s">
        <v>53</v>
      </c>
      <c r="S436" s="1" t="str">
        <f t="shared" si="12"/>
        <v>Vantage Point Retailers</v>
      </c>
      <c r="V436"/>
      <c r="Z436" s="11" t="s">
        <v>21</v>
      </c>
      <c r="AA436" s="1" t="str">
        <f t="shared" si="13"/>
        <v>Pipe Clamp 25mm</v>
      </c>
      <c r="AF436"/>
    </row>
    <row r="437" spans="1:32" x14ac:dyDescent="0.3">
      <c r="A437" s="10">
        <v>44376</v>
      </c>
      <c r="B437" s="3" t="s">
        <v>159</v>
      </c>
      <c r="C437" s="11" t="s">
        <v>242</v>
      </c>
      <c r="D437" s="12">
        <v>146.72</v>
      </c>
      <c r="E437" s="1">
        <v>4</v>
      </c>
      <c r="F437" s="13">
        <f>InputData[[#This Row],[QUANTITY]]*InputData[[#This Row],[UNIT PRICE (R)]]</f>
        <v>586.88</v>
      </c>
      <c r="G437" s="1" t="str">
        <f>VLOOKUP(InputData[[#This Row],[CUSTOMER NAME]],Country[],2,0)</f>
        <v>Saudi Arabia</v>
      </c>
      <c r="H437" s="1" t="str">
        <f>VLOOKUP(InputData[[#This Row],[CUSTOMER NAME]],Country[],3,0)</f>
        <v>Export</v>
      </c>
      <c r="I437" s="1" t="str">
        <f>TEXT(InputData[[#This Row],[DATE]],"mmmm")</f>
        <v>June</v>
      </c>
      <c r="J437" s="1" t="str">
        <f>TEXT(InputData[[#This Row],[DATE]],"ddd")</f>
        <v>Tue</v>
      </c>
      <c r="K437" s="14">
        <f>WEEKNUM(InputData[[#This Row],[DATE]])</f>
        <v>27</v>
      </c>
      <c r="N437"/>
      <c r="R437" s="3" t="s">
        <v>66</v>
      </c>
      <c r="S437" s="1" t="str">
        <f t="shared" si="12"/>
        <v>Whitfield Distributors</v>
      </c>
      <c r="V437"/>
      <c r="Z437" s="11" t="s">
        <v>35</v>
      </c>
      <c r="AA437" s="1" t="str">
        <f t="shared" si="13"/>
        <v>T-Bracket 100mm</v>
      </c>
      <c r="AF437"/>
    </row>
    <row r="438" spans="1:32" x14ac:dyDescent="0.3">
      <c r="A438" s="10">
        <v>44377</v>
      </c>
      <c r="B438" s="3" t="s">
        <v>156</v>
      </c>
      <c r="C438" s="11" t="s">
        <v>271</v>
      </c>
      <c r="D438" s="12">
        <v>83.08</v>
      </c>
      <c r="E438" s="1">
        <v>8</v>
      </c>
      <c r="F438" s="13">
        <f>InputData[[#This Row],[QUANTITY]]*InputData[[#This Row],[UNIT PRICE (R)]]</f>
        <v>664.64</v>
      </c>
      <c r="G438" s="1" t="str">
        <f>VLOOKUP(InputData[[#This Row],[CUSTOMER NAME]],Country[],2,0)</f>
        <v>India</v>
      </c>
      <c r="H438" s="1" t="str">
        <f>VLOOKUP(InputData[[#This Row],[CUSTOMER NAME]],Country[],3,0)</f>
        <v>East</v>
      </c>
      <c r="I438" s="1" t="str">
        <f>TEXT(InputData[[#This Row],[DATE]],"mmmm")</f>
        <v>June</v>
      </c>
      <c r="J438" s="1" t="str">
        <f>TEXT(InputData[[#This Row],[DATE]],"ddd")</f>
        <v>Wed</v>
      </c>
      <c r="K438" s="14">
        <f>WEEKNUM(InputData[[#This Row],[DATE]])</f>
        <v>27</v>
      </c>
      <c r="N438"/>
      <c r="R438" s="3" t="s">
        <v>64</v>
      </c>
      <c r="S438" s="1" t="str">
        <f t="shared" si="12"/>
        <v>Ridgeway Commercial</v>
      </c>
      <c r="V438"/>
      <c r="Z438" s="11" t="s">
        <v>14</v>
      </c>
      <c r="AA438" s="1" t="str">
        <f t="shared" si="13"/>
        <v>Cap Screw M6</v>
      </c>
      <c r="AF438"/>
    </row>
    <row r="439" spans="1:32" x14ac:dyDescent="0.3">
      <c r="A439" s="10">
        <v>44378</v>
      </c>
      <c r="B439" s="3" t="s">
        <v>143</v>
      </c>
      <c r="C439" s="11" t="s">
        <v>233</v>
      </c>
      <c r="D439" s="12">
        <v>155.61000000000001</v>
      </c>
      <c r="E439" s="1">
        <v>11</v>
      </c>
      <c r="F439" s="13">
        <f>InputData[[#This Row],[QUANTITY]]*InputData[[#This Row],[UNIT PRICE (R)]]</f>
        <v>1711.71</v>
      </c>
      <c r="G439" s="1" t="str">
        <f>VLOOKUP(InputData[[#This Row],[CUSTOMER NAME]],Country[],2,0)</f>
        <v>Nigeria</v>
      </c>
      <c r="H439" s="1" t="str">
        <f>VLOOKUP(InputData[[#This Row],[CUSTOMER NAME]],Country[],3,0)</f>
        <v>Export</v>
      </c>
      <c r="I439" s="1" t="str">
        <f>TEXT(InputData[[#This Row],[DATE]],"mmmm")</f>
        <v>July</v>
      </c>
      <c r="J439" s="1" t="str">
        <f>TEXT(InputData[[#This Row],[DATE]],"ddd")</f>
        <v>Thu</v>
      </c>
      <c r="K439" s="14">
        <f>WEEKNUM(InputData[[#This Row],[DATE]])</f>
        <v>27</v>
      </c>
      <c r="N439"/>
      <c r="R439" s="3" t="s">
        <v>61</v>
      </c>
      <c r="S439" s="1" t="str">
        <f t="shared" si="12"/>
        <v>Fairstone Retail Group</v>
      </c>
      <c r="V439"/>
      <c r="Z439" s="11" t="s">
        <v>43</v>
      </c>
      <c r="AA439" s="1" t="str">
        <f t="shared" si="13"/>
        <v>Copper Pipe Fitting 15mm</v>
      </c>
      <c r="AF439"/>
    </row>
    <row r="440" spans="1:32" x14ac:dyDescent="0.3">
      <c r="A440" s="10">
        <v>44378</v>
      </c>
      <c r="B440" s="3" t="s">
        <v>172</v>
      </c>
      <c r="C440" s="11" t="s">
        <v>268</v>
      </c>
      <c r="D440" s="12">
        <v>115.2</v>
      </c>
      <c r="E440" s="1">
        <v>22</v>
      </c>
      <c r="F440" s="13">
        <f>InputData[[#This Row],[QUANTITY]]*InputData[[#This Row],[UNIT PRICE (R)]]</f>
        <v>2534.4</v>
      </c>
      <c r="G440" s="1" t="str">
        <f>VLOOKUP(InputData[[#This Row],[CUSTOMER NAME]],Country[],2,0)</f>
        <v>Mexico</v>
      </c>
      <c r="H440" s="1" t="str">
        <f>VLOOKUP(InputData[[#This Row],[CUSTOMER NAME]],Country[],3,0)</f>
        <v>Export</v>
      </c>
      <c r="I440" s="1" t="str">
        <f>TEXT(InputData[[#This Row],[DATE]],"mmmm")</f>
        <v>July</v>
      </c>
      <c r="J440" s="1" t="str">
        <f>TEXT(InputData[[#This Row],[DATE]],"ddd")</f>
        <v>Thu</v>
      </c>
      <c r="K440" s="14">
        <f>WEEKNUM(InputData[[#This Row],[DATE]])</f>
        <v>27</v>
      </c>
      <c r="N440"/>
      <c r="R440" s="3" t="s">
        <v>48</v>
      </c>
      <c r="S440" s="1" t="str">
        <f t="shared" si="12"/>
        <v>Thornwell Trading</v>
      </c>
      <c r="V440"/>
      <c r="Z440" s="11" t="s">
        <v>5</v>
      </c>
      <c r="AA440" s="1" t="str">
        <f t="shared" si="13"/>
        <v>Wing Nut M6</v>
      </c>
      <c r="AF440"/>
    </row>
    <row r="441" spans="1:32" x14ac:dyDescent="0.3">
      <c r="A441" s="10">
        <v>44379</v>
      </c>
      <c r="B441" s="3" t="s">
        <v>151</v>
      </c>
      <c r="C441" s="11" t="s">
        <v>238</v>
      </c>
      <c r="D441" s="12">
        <v>164.28</v>
      </c>
      <c r="E441" s="1">
        <v>11</v>
      </c>
      <c r="F441" s="13">
        <f>InputData[[#This Row],[QUANTITY]]*InputData[[#This Row],[UNIT PRICE (R)]]</f>
        <v>1807.08</v>
      </c>
      <c r="G441" s="1" t="str">
        <f>VLOOKUP(InputData[[#This Row],[CUSTOMER NAME]],Country[],2,0)</f>
        <v>Russia</v>
      </c>
      <c r="H441" s="1" t="str">
        <f>VLOOKUP(InputData[[#This Row],[CUSTOMER NAME]],Country[],3,0)</f>
        <v>Export</v>
      </c>
      <c r="I441" s="1" t="str">
        <f>TEXT(InputData[[#This Row],[DATE]],"mmmm")</f>
        <v>July</v>
      </c>
      <c r="J441" s="1" t="str">
        <f>TEXT(InputData[[#This Row],[DATE]],"ddd")</f>
        <v>Fri</v>
      </c>
      <c r="K441" s="14">
        <f>WEEKNUM(InputData[[#This Row],[DATE]])</f>
        <v>27</v>
      </c>
      <c r="N441"/>
      <c r="R441" s="3" t="s">
        <v>77</v>
      </c>
      <c r="S441" s="1" t="str">
        <f t="shared" si="12"/>
        <v>Fenwick Traders</v>
      </c>
      <c r="V441"/>
      <c r="Z441" s="11" t="s">
        <v>40</v>
      </c>
      <c r="AA441" s="1" t="str">
        <f t="shared" si="13"/>
        <v>Conduit Clamp 25mm</v>
      </c>
      <c r="AF441"/>
    </row>
    <row r="442" spans="1:32" x14ac:dyDescent="0.3">
      <c r="A442" s="10">
        <v>44379</v>
      </c>
      <c r="B442" s="3" t="s">
        <v>177</v>
      </c>
      <c r="C442" s="11" t="s">
        <v>253</v>
      </c>
      <c r="D442" s="12">
        <v>8.33</v>
      </c>
      <c r="E442" s="1">
        <v>21</v>
      </c>
      <c r="F442" s="13">
        <f>InputData[[#This Row],[QUANTITY]]*InputData[[#This Row],[UNIT PRICE (R)]]</f>
        <v>174.93</v>
      </c>
      <c r="G442" s="1" t="str">
        <f>VLOOKUP(InputData[[#This Row],[CUSTOMER NAME]],Country[],2,0)</f>
        <v>India</v>
      </c>
      <c r="H442" s="1" t="str">
        <f>VLOOKUP(InputData[[#This Row],[CUSTOMER NAME]],Country[],3,0)</f>
        <v>North</v>
      </c>
      <c r="I442" s="1" t="str">
        <f>TEXT(InputData[[#This Row],[DATE]],"mmmm")</f>
        <v>July</v>
      </c>
      <c r="J442" s="1" t="str">
        <f>TEXT(InputData[[#This Row],[DATE]],"ddd")</f>
        <v>Fri</v>
      </c>
      <c r="K442" s="14">
        <f>WEEKNUM(InputData[[#This Row],[DATE]])</f>
        <v>27</v>
      </c>
      <c r="N442"/>
      <c r="R442" s="3" t="s">
        <v>56</v>
      </c>
      <c r="S442" s="1" t="str">
        <f t="shared" si="12"/>
        <v>Northgate Industries</v>
      </c>
      <c r="V442"/>
      <c r="Z442" s="11" t="s">
        <v>10</v>
      </c>
      <c r="AA442" s="1" t="str">
        <f t="shared" si="13"/>
        <v>Self-Tapping Screw 25mm</v>
      </c>
      <c r="AF442"/>
    </row>
    <row r="443" spans="1:32" x14ac:dyDescent="0.3">
      <c r="A443" s="10">
        <v>44379</v>
      </c>
      <c r="B443" s="3" t="s">
        <v>164</v>
      </c>
      <c r="C443" s="11" t="s">
        <v>255</v>
      </c>
      <c r="D443" s="12">
        <v>57.120000000000005</v>
      </c>
      <c r="E443" s="1">
        <v>2</v>
      </c>
      <c r="F443" s="13">
        <f>InputData[[#This Row],[QUANTITY]]*InputData[[#This Row],[UNIT PRICE (R)]]</f>
        <v>114.24000000000001</v>
      </c>
      <c r="G443" s="1" t="str">
        <f>VLOOKUP(InputData[[#This Row],[CUSTOMER NAME]],Country[],2,0)</f>
        <v>India</v>
      </c>
      <c r="H443" s="1" t="str">
        <f>VLOOKUP(InputData[[#This Row],[CUSTOMER NAME]],Country[],3,0)</f>
        <v>East</v>
      </c>
      <c r="I443" s="1" t="str">
        <f>TEXT(InputData[[#This Row],[DATE]],"mmmm")</f>
        <v>July</v>
      </c>
      <c r="J443" s="1" t="str">
        <f>TEXT(InputData[[#This Row],[DATE]],"ddd")</f>
        <v>Fri</v>
      </c>
      <c r="K443" s="14">
        <f>WEEKNUM(InputData[[#This Row],[DATE]])</f>
        <v>27</v>
      </c>
      <c r="N443"/>
      <c r="R443" s="3" t="s">
        <v>99</v>
      </c>
      <c r="S443" s="1" t="str">
        <f t="shared" si="12"/>
        <v>Northfield Traders</v>
      </c>
      <c r="V443"/>
      <c r="Z443" s="11" t="s">
        <v>25</v>
      </c>
      <c r="AA443" s="1" t="str">
        <f t="shared" si="13"/>
        <v>Turnbuckle M8</v>
      </c>
      <c r="AF443"/>
    </row>
    <row r="444" spans="1:32" x14ac:dyDescent="0.3">
      <c r="A444" s="10">
        <v>44380</v>
      </c>
      <c r="B444" s="3" t="s">
        <v>144</v>
      </c>
      <c r="C444" s="11" t="s">
        <v>231</v>
      </c>
      <c r="D444" s="12">
        <v>80.94</v>
      </c>
      <c r="E444" s="1">
        <v>8</v>
      </c>
      <c r="F444" s="13">
        <f>InputData[[#This Row],[QUANTITY]]*InputData[[#This Row],[UNIT PRICE (R)]]</f>
        <v>647.52</v>
      </c>
      <c r="G444" s="1" t="str">
        <f>VLOOKUP(InputData[[#This Row],[CUSTOMER NAME]],Country[],2,0)</f>
        <v>Bangladesh</v>
      </c>
      <c r="H444" s="1" t="str">
        <f>VLOOKUP(InputData[[#This Row],[CUSTOMER NAME]],Country[],3,0)</f>
        <v>Export</v>
      </c>
      <c r="I444" s="1" t="str">
        <f>TEXT(InputData[[#This Row],[DATE]],"mmmm")</f>
        <v>July</v>
      </c>
      <c r="J444" s="1" t="str">
        <f>TEXT(InputData[[#This Row],[DATE]],"ddd")</f>
        <v>Sat</v>
      </c>
      <c r="K444" s="14">
        <f>WEEKNUM(InputData[[#This Row],[DATE]])</f>
        <v>27</v>
      </c>
      <c r="N444"/>
      <c r="R444" s="3" t="s">
        <v>69</v>
      </c>
      <c r="S444" s="1" t="str">
        <f t="shared" si="12"/>
        <v>Southcote Industries</v>
      </c>
      <c r="V444"/>
      <c r="Z444" s="11" t="s">
        <v>27</v>
      </c>
      <c r="AA444" s="1" t="str">
        <f t="shared" si="13"/>
        <v>Padlock Hasp 100mm</v>
      </c>
      <c r="AF444"/>
    </row>
    <row r="445" spans="1:32" x14ac:dyDescent="0.3">
      <c r="A445" s="10">
        <v>44380</v>
      </c>
      <c r="B445" s="3" t="s">
        <v>157</v>
      </c>
      <c r="C445" s="11" t="s">
        <v>261</v>
      </c>
      <c r="D445" s="12">
        <v>119.7</v>
      </c>
      <c r="E445" s="1">
        <v>15</v>
      </c>
      <c r="F445" s="13">
        <f>InputData[[#This Row],[QUANTITY]]*InputData[[#This Row],[UNIT PRICE (R)]]</f>
        <v>1795.5</v>
      </c>
      <c r="G445" s="1" t="str">
        <f>VLOOKUP(InputData[[#This Row],[CUSTOMER NAME]],Country[],2,0)</f>
        <v>Brazil</v>
      </c>
      <c r="H445" s="1" t="str">
        <f>VLOOKUP(InputData[[#This Row],[CUSTOMER NAME]],Country[],3,0)</f>
        <v>Export</v>
      </c>
      <c r="I445" s="1" t="str">
        <f>TEXT(InputData[[#This Row],[DATE]],"mmmm")</f>
        <v>July</v>
      </c>
      <c r="J445" s="1" t="str">
        <f>TEXT(InputData[[#This Row],[DATE]],"ddd")</f>
        <v>Sat</v>
      </c>
      <c r="K445" s="14">
        <f>WEEKNUM(InputData[[#This Row],[DATE]])</f>
        <v>27</v>
      </c>
      <c r="N445"/>
      <c r="R445" s="3" t="s">
        <v>49</v>
      </c>
      <c r="S445" s="1" t="str">
        <f t="shared" si="12"/>
        <v>Baxter &amp; Kline Supplies</v>
      </c>
      <c r="V445"/>
      <c r="Z445" s="11" t="s">
        <v>3</v>
      </c>
      <c r="AA445" s="1" t="str">
        <f t="shared" si="13"/>
        <v>Hex Bolt M12</v>
      </c>
      <c r="AF445"/>
    </row>
    <row r="446" spans="1:32" x14ac:dyDescent="0.3">
      <c r="A446" s="10">
        <v>44380</v>
      </c>
      <c r="B446" s="3" t="s">
        <v>163</v>
      </c>
      <c r="C446" s="11" t="s">
        <v>261</v>
      </c>
      <c r="D446" s="12">
        <v>119.7</v>
      </c>
      <c r="E446" s="1">
        <v>9</v>
      </c>
      <c r="F446" s="13">
        <f>InputData[[#This Row],[QUANTITY]]*InputData[[#This Row],[UNIT PRICE (R)]]</f>
        <v>1077.3</v>
      </c>
      <c r="G446" s="1" t="str">
        <f>VLOOKUP(InputData[[#This Row],[CUSTOMER NAME]],Country[],2,0)</f>
        <v>South Africa</v>
      </c>
      <c r="H446" s="1" t="str">
        <f>VLOOKUP(InputData[[#This Row],[CUSTOMER NAME]],Country[],3,0)</f>
        <v>Export</v>
      </c>
      <c r="I446" s="1" t="str">
        <f>TEXT(InputData[[#This Row],[DATE]],"mmmm")</f>
        <v>July</v>
      </c>
      <c r="J446" s="1" t="str">
        <f>TEXT(InputData[[#This Row],[DATE]],"ddd")</f>
        <v>Sat</v>
      </c>
      <c r="K446" s="14">
        <f>WEEKNUM(InputData[[#This Row],[DATE]])</f>
        <v>27</v>
      </c>
      <c r="N446"/>
      <c r="R446" s="3" t="s">
        <v>62</v>
      </c>
      <c r="S446" s="1" t="str">
        <f t="shared" si="12"/>
        <v>Marchbank Traders</v>
      </c>
      <c r="V446"/>
      <c r="Z446" s="11" t="s">
        <v>33</v>
      </c>
      <c r="AA446" s="1" t="str">
        <f t="shared" si="13"/>
        <v>Shelf Bracket 200mm</v>
      </c>
      <c r="AF446"/>
    </row>
    <row r="447" spans="1:32" x14ac:dyDescent="0.3">
      <c r="A447" s="10">
        <v>44381</v>
      </c>
      <c r="B447" s="3" t="s">
        <v>164</v>
      </c>
      <c r="C447" s="11" t="s">
        <v>235</v>
      </c>
      <c r="D447" s="12">
        <v>47.730000000000004</v>
      </c>
      <c r="E447" s="1">
        <v>7</v>
      </c>
      <c r="F447" s="13">
        <f>InputData[[#This Row],[QUANTITY]]*InputData[[#This Row],[UNIT PRICE (R)]]</f>
        <v>334.11</v>
      </c>
      <c r="G447" s="1" t="str">
        <f>VLOOKUP(InputData[[#This Row],[CUSTOMER NAME]],Country[],2,0)</f>
        <v>India</v>
      </c>
      <c r="H447" s="1" t="str">
        <f>VLOOKUP(InputData[[#This Row],[CUSTOMER NAME]],Country[],3,0)</f>
        <v>East</v>
      </c>
      <c r="I447" s="1" t="str">
        <f>TEXT(InputData[[#This Row],[DATE]],"mmmm")</f>
        <v>July</v>
      </c>
      <c r="J447" s="1" t="str">
        <f>TEXT(InputData[[#This Row],[DATE]],"ddd")</f>
        <v>Sun</v>
      </c>
      <c r="K447" s="14">
        <f>WEEKNUM(InputData[[#This Row],[DATE]])</f>
        <v>28</v>
      </c>
      <c r="N447"/>
      <c r="R447" s="3" t="s">
        <v>68</v>
      </c>
      <c r="S447" s="1" t="str">
        <f t="shared" si="12"/>
        <v>Delacroix Wholesale</v>
      </c>
      <c r="V447"/>
      <c r="Z447" s="11" t="s">
        <v>33</v>
      </c>
      <c r="AA447" s="1" t="str">
        <f t="shared" si="13"/>
        <v>Shelf Bracket 200mm</v>
      </c>
      <c r="AF447"/>
    </row>
    <row r="448" spans="1:32" x14ac:dyDescent="0.3">
      <c r="A448" s="10">
        <v>44381</v>
      </c>
      <c r="B448" s="3" t="s">
        <v>167</v>
      </c>
      <c r="C448" s="11" t="s">
        <v>269</v>
      </c>
      <c r="D448" s="12">
        <v>173.88</v>
      </c>
      <c r="E448" s="1">
        <v>7</v>
      </c>
      <c r="F448" s="13">
        <f>InputData[[#This Row],[QUANTITY]]*InputData[[#This Row],[UNIT PRICE (R)]]</f>
        <v>1217.1599999999999</v>
      </c>
      <c r="G448" s="1" t="str">
        <f>VLOOKUP(InputData[[#This Row],[CUSTOMER NAME]],Country[],2,0)</f>
        <v>Ethiopia</v>
      </c>
      <c r="H448" s="1" t="str">
        <f>VLOOKUP(InputData[[#This Row],[CUSTOMER NAME]],Country[],3,0)</f>
        <v>Export</v>
      </c>
      <c r="I448" s="1" t="str">
        <f>TEXT(InputData[[#This Row],[DATE]],"mmmm")</f>
        <v>July</v>
      </c>
      <c r="J448" s="1" t="str">
        <f>TEXT(InputData[[#This Row],[DATE]],"ddd")</f>
        <v>Sun</v>
      </c>
      <c r="K448" s="14">
        <f>WEEKNUM(InputData[[#This Row],[DATE]])</f>
        <v>28</v>
      </c>
      <c r="N448"/>
      <c r="R448" s="3" t="s">
        <v>69</v>
      </c>
      <c r="S448" s="1" t="str">
        <f t="shared" si="12"/>
        <v>Southcote Industries</v>
      </c>
      <c r="V448"/>
      <c r="Z448" s="11" t="s">
        <v>7</v>
      </c>
      <c r="AA448" s="1" t="str">
        <f t="shared" si="13"/>
        <v>Lock Washer M8</v>
      </c>
      <c r="AF448"/>
    </row>
    <row r="449" spans="1:32" x14ac:dyDescent="0.3">
      <c r="A449" s="10">
        <v>44382</v>
      </c>
      <c r="B449" s="3" t="s">
        <v>147</v>
      </c>
      <c r="C449" s="11" t="s">
        <v>253</v>
      </c>
      <c r="D449" s="12">
        <v>8.33</v>
      </c>
      <c r="E449" s="1">
        <v>7</v>
      </c>
      <c r="F449" s="13">
        <f>InputData[[#This Row],[QUANTITY]]*InputData[[#This Row],[UNIT PRICE (R)]]</f>
        <v>58.31</v>
      </c>
      <c r="G449" s="1" t="str">
        <f>VLOOKUP(InputData[[#This Row],[CUSTOMER NAME]],Country[],2,0)</f>
        <v>India</v>
      </c>
      <c r="H449" s="1" t="str">
        <f>VLOOKUP(InputData[[#This Row],[CUSTOMER NAME]],Country[],3,0)</f>
        <v>Northeast</v>
      </c>
      <c r="I449" s="1" t="str">
        <f>TEXT(InputData[[#This Row],[DATE]],"mmmm")</f>
        <v>July</v>
      </c>
      <c r="J449" s="1" t="str">
        <f>TEXT(InputData[[#This Row],[DATE]],"ddd")</f>
        <v>Mon</v>
      </c>
      <c r="K449" s="14">
        <f>WEEKNUM(InputData[[#This Row],[DATE]])</f>
        <v>28</v>
      </c>
      <c r="N449"/>
      <c r="R449" s="3" t="s">
        <v>72</v>
      </c>
      <c r="S449" s="1" t="str">
        <f t="shared" si="12"/>
        <v>Hendricks Mercantile</v>
      </c>
      <c r="V449"/>
      <c r="Z449" s="11" t="s">
        <v>41</v>
      </c>
      <c r="AA449" s="1" t="str">
        <f t="shared" si="13"/>
        <v>PVC Elbow 20mm</v>
      </c>
      <c r="AF449"/>
    </row>
    <row r="450" spans="1:32" x14ac:dyDescent="0.3">
      <c r="A450" s="10">
        <v>44382</v>
      </c>
      <c r="B450" s="3" t="s">
        <v>159</v>
      </c>
      <c r="C450" s="11" t="s">
        <v>243</v>
      </c>
      <c r="D450" s="12">
        <v>15.719999999999999</v>
      </c>
      <c r="E450" s="1">
        <v>8</v>
      </c>
      <c r="F450" s="13">
        <f>InputData[[#This Row],[QUANTITY]]*InputData[[#This Row],[UNIT PRICE (R)]]</f>
        <v>125.75999999999999</v>
      </c>
      <c r="G450" s="1" t="str">
        <f>VLOOKUP(InputData[[#This Row],[CUSTOMER NAME]],Country[],2,0)</f>
        <v>Saudi Arabia</v>
      </c>
      <c r="H450" s="1" t="str">
        <f>VLOOKUP(InputData[[#This Row],[CUSTOMER NAME]],Country[],3,0)</f>
        <v>Export</v>
      </c>
      <c r="I450" s="1" t="str">
        <f>TEXT(InputData[[#This Row],[DATE]],"mmmm")</f>
        <v>July</v>
      </c>
      <c r="J450" s="1" t="str">
        <f>TEXT(InputData[[#This Row],[DATE]],"ddd")</f>
        <v>Mon</v>
      </c>
      <c r="K450" s="14">
        <f>WEEKNUM(InputData[[#This Row],[DATE]])</f>
        <v>28</v>
      </c>
      <c r="N450"/>
      <c r="R450" s="3" t="s">
        <v>52</v>
      </c>
      <c r="S450" s="1" t="str">
        <f t="shared" si="12"/>
        <v>Harrow Distribution</v>
      </c>
      <c r="V450"/>
      <c r="Z450" s="11" t="s">
        <v>25</v>
      </c>
      <c r="AA450" s="1" t="str">
        <f t="shared" si="13"/>
        <v>Turnbuckle M8</v>
      </c>
      <c r="AF450"/>
    </row>
    <row r="451" spans="1:32" x14ac:dyDescent="0.3">
      <c r="A451" s="10">
        <v>44382</v>
      </c>
      <c r="B451" s="3" t="s">
        <v>163</v>
      </c>
      <c r="C451" s="11" t="s">
        <v>230</v>
      </c>
      <c r="D451" s="12">
        <v>142.80000000000001</v>
      </c>
      <c r="E451" s="1">
        <v>8</v>
      </c>
      <c r="F451" s="13">
        <f>InputData[[#This Row],[QUANTITY]]*InputData[[#This Row],[UNIT PRICE (R)]]</f>
        <v>1142.4000000000001</v>
      </c>
      <c r="G451" s="1" t="str">
        <f>VLOOKUP(InputData[[#This Row],[CUSTOMER NAME]],Country[],2,0)</f>
        <v>South Africa</v>
      </c>
      <c r="H451" s="1" t="str">
        <f>VLOOKUP(InputData[[#This Row],[CUSTOMER NAME]],Country[],3,0)</f>
        <v>Export</v>
      </c>
      <c r="I451" s="1" t="str">
        <f>TEXT(InputData[[#This Row],[DATE]],"mmmm")</f>
        <v>July</v>
      </c>
      <c r="J451" s="1" t="str">
        <f>TEXT(InputData[[#This Row],[DATE]],"ddd")</f>
        <v>Mon</v>
      </c>
      <c r="K451" s="14">
        <f>WEEKNUM(InputData[[#This Row],[DATE]])</f>
        <v>28</v>
      </c>
      <c r="N451"/>
      <c r="R451" s="3" t="s">
        <v>64</v>
      </c>
      <c r="S451" s="1" t="str">
        <f t="shared" si="12"/>
        <v>Ridgeway Commercial</v>
      </c>
      <c r="V451"/>
      <c r="Z451" s="11" t="s">
        <v>15</v>
      </c>
      <c r="AA451" s="1" t="str">
        <f t="shared" si="13"/>
        <v>Rivet 4mm</v>
      </c>
      <c r="AF451"/>
    </row>
    <row r="452" spans="1:32" x14ac:dyDescent="0.3">
      <c r="A452" s="10">
        <v>44383</v>
      </c>
      <c r="B452" s="3" t="s">
        <v>147</v>
      </c>
      <c r="C452" s="11" t="s">
        <v>252</v>
      </c>
      <c r="D452" s="12">
        <v>156.96</v>
      </c>
      <c r="E452" s="1">
        <v>11</v>
      </c>
      <c r="F452" s="13">
        <f>InputData[[#This Row],[QUANTITY]]*InputData[[#This Row],[UNIT PRICE (R)]]</f>
        <v>1726.5600000000002</v>
      </c>
      <c r="G452" s="1" t="str">
        <f>VLOOKUP(InputData[[#This Row],[CUSTOMER NAME]],Country[],2,0)</f>
        <v>India</v>
      </c>
      <c r="H452" s="1" t="str">
        <f>VLOOKUP(InputData[[#This Row],[CUSTOMER NAME]],Country[],3,0)</f>
        <v>Northeast</v>
      </c>
      <c r="I452" s="1" t="str">
        <f>TEXT(InputData[[#This Row],[DATE]],"mmmm")</f>
        <v>July</v>
      </c>
      <c r="J452" s="1" t="str">
        <f>TEXT(InputData[[#This Row],[DATE]],"ddd")</f>
        <v>Tue</v>
      </c>
      <c r="K452" s="14">
        <f>WEEKNUM(InputData[[#This Row],[DATE]])</f>
        <v>28</v>
      </c>
      <c r="N452"/>
      <c r="R452" s="3" t="s">
        <v>68</v>
      </c>
      <c r="S452" s="1" t="str">
        <f t="shared" si="12"/>
        <v>Delacroix Wholesale</v>
      </c>
      <c r="V452"/>
      <c r="Z452" s="11" t="s">
        <v>2</v>
      </c>
      <c r="AA452" s="1" t="str">
        <f t="shared" si="13"/>
        <v>Hex Bolt M10</v>
      </c>
      <c r="AF452"/>
    </row>
    <row r="453" spans="1:32" x14ac:dyDescent="0.3">
      <c r="A453" s="10">
        <v>44383</v>
      </c>
      <c r="B453" s="3" t="s">
        <v>158</v>
      </c>
      <c r="C453" s="11" t="s">
        <v>269</v>
      </c>
      <c r="D453" s="12">
        <v>173.88</v>
      </c>
      <c r="E453" s="1">
        <v>15</v>
      </c>
      <c r="F453" s="13">
        <f>InputData[[#This Row],[QUANTITY]]*InputData[[#This Row],[UNIT PRICE (R)]]</f>
        <v>2608.1999999999998</v>
      </c>
      <c r="G453" s="1" t="str">
        <f>VLOOKUP(InputData[[#This Row],[CUSTOMER NAME]],Country[],2,0)</f>
        <v>Russia</v>
      </c>
      <c r="H453" s="1" t="str">
        <f>VLOOKUP(InputData[[#This Row],[CUSTOMER NAME]],Country[],3,0)</f>
        <v>Export</v>
      </c>
      <c r="I453" s="1" t="str">
        <f>TEXT(InputData[[#This Row],[DATE]],"mmmm")</f>
        <v>July</v>
      </c>
      <c r="J453" s="1" t="str">
        <f>TEXT(InputData[[#This Row],[DATE]],"ddd")</f>
        <v>Tue</v>
      </c>
      <c r="K453" s="14">
        <f>WEEKNUM(InputData[[#This Row],[DATE]])</f>
        <v>28</v>
      </c>
      <c r="N453"/>
      <c r="R453" s="3" t="s">
        <v>52</v>
      </c>
      <c r="S453" s="1" t="str">
        <f t="shared" si="12"/>
        <v>Harrow Distribution</v>
      </c>
      <c r="V453"/>
      <c r="Z453" s="11" t="s">
        <v>24</v>
      </c>
      <c r="AA453" s="1" t="str">
        <f t="shared" si="13"/>
        <v>Eye Bolt M10</v>
      </c>
      <c r="AF453"/>
    </row>
    <row r="454" spans="1:32" x14ac:dyDescent="0.3">
      <c r="A454" s="10">
        <v>44383</v>
      </c>
      <c r="B454" s="3" t="s">
        <v>159</v>
      </c>
      <c r="C454" s="11" t="s">
        <v>269</v>
      </c>
      <c r="D454" s="12">
        <v>173.88</v>
      </c>
      <c r="E454" s="1">
        <v>2</v>
      </c>
      <c r="F454" s="13">
        <f>InputData[[#This Row],[QUANTITY]]*InputData[[#This Row],[UNIT PRICE (R)]]</f>
        <v>347.76</v>
      </c>
      <c r="G454" s="1" t="str">
        <f>VLOOKUP(InputData[[#This Row],[CUSTOMER NAME]],Country[],2,0)</f>
        <v>Saudi Arabia</v>
      </c>
      <c r="H454" s="1" t="str">
        <f>VLOOKUP(InputData[[#This Row],[CUSTOMER NAME]],Country[],3,0)</f>
        <v>Export</v>
      </c>
      <c r="I454" s="1" t="str">
        <f>TEXT(InputData[[#This Row],[DATE]],"mmmm")</f>
        <v>July</v>
      </c>
      <c r="J454" s="1" t="str">
        <f>TEXT(InputData[[#This Row],[DATE]],"ddd")</f>
        <v>Tue</v>
      </c>
      <c r="K454" s="14">
        <f>WEEKNUM(InputData[[#This Row],[DATE]])</f>
        <v>28</v>
      </c>
      <c r="N454"/>
      <c r="R454" s="3" t="s">
        <v>63</v>
      </c>
      <c r="S454" s="1" t="str">
        <f t="shared" si="12"/>
        <v>Ovenden &amp; Sons</v>
      </c>
      <c r="V454"/>
      <c r="Z454" s="11" t="s">
        <v>41</v>
      </c>
      <c r="AA454" s="1" t="str">
        <f t="shared" si="13"/>
        <v>PVC Elbow 20mm</v>
      </c>
      <c r="AF454"/>
    </row>
    <row r="455" spans="1:32" x14ac:dyDescent="0.3">
      <c r="A455" s="10">
        <v>44385</v>
      </c>
      <c r="B455" s="3" t="s">
        <v>164</v>
      </c>
      <c r="C455" s="11" t="s">
        <v>246</v>
      </c>
      <c r="D455" s="12">
        <v>49.21</v>
      </c>
      <c r="E455" s="1">
        <v>2</v>
      </c>
      <c r="F455" s="13">
        <f>InputData[[#This Row],[QUANTITY]]*InputData[[#This Row],[UNIT PRICE (R)]]</f>
        <v>98.42</v>
      </c>
      <c r="G455" s="1" t="str">
        <f>VLOOKUP(InputData[[#This Row],[CUSTOMER NAME]],Country[],2,0)</f>
        <v>India</v>
      </c>
      <c r="H455" s="1" t="str">
        <f>VLOOKUP(InputData[[#This Row],[CUSTOMER NAME]],Country[],3,0)</f>
        <v>East</v>
      </c>
      <c r="I455" s="1" t="str">
        <f>TEXT(InputData[[#This Row],[DATE]],"mmmm")</f>
        <v>July</v>
      </c>
      <c r="J455" s="1" t="str">
        <f>TEXT(InputData[[#This Row],[DATE]],"ddd")</f>
        <v>Thu</v>
      </c>
      <c r="K455" s="14">
        <f>WEEKNUM(InputData[[#This Row],[DATE]])</f>
        <v>28</v>
      </c>
      <c r="N455"/>
      <c r="R455" s="3" t="s">
        <v>64</v>
      </c>
      <c r="S455" s="1" t="str">
        <f t="shared" ref="S455:S518" si="14">_xlfn.XLOOKUP(R455,$N$5:$N$64,$O$5:$O$64,"Not Found")</f>
        <v>Ridgeway Commercial</v>
      </c>
      <c r="V455"/>
      <c r="Z455" s="11" t="s">
        <v>41</v>
      </c>
      <c r="AA455" s="1" t="str">
        <f t="shared" ref="AA455:AA518" si="15">_xlfn.XLOOKUP(Z455,$V$5:$V$48,$W$5:$W$48,"Not Found",0)</f>
        <v>PVC Elbow 20mm</v>
      </c>
      <c r="AF455"/>
    </row>
    <row r="456" spans="1:32" x14ac:dyDescent="0.3">
      <c r="A456" s="10">
        <v>44385</v>
      </c>
      <c r="B456" s="3" t="s">
        <v>170</v>
      </c>
      <c r="C456" s="11" t="s">
        <v>232</v>
      </c>
      <c r="D456" s="12">
        <v>48.84</v>
      </c>
      <c r="E456" s="1">
        <v>10</v>
      </c>
      <c r="F456" s="13">
        <f>InputData[[#This Row],[QUANTITY]]*InputData[[#This Row],[UNIT PRICE (R)]]</f>
        <v>488.40000000000003</v>
      </c>
      <c r="G456" s="1" t="str">
        <f>VLOOKUP(InputData[[#This Row],[CUSTOMER NAME]],Country[],2,0)</f>
        <v>France</v>
      </c>
      <c r="H456" s="1" t="str">
        <f>VLOOKUP(InputData[[#This Row],[CUSTOMER NAME]],Country[],3,0)</f>
        <v>Export</v>
      </c>
      <c r="I456" s="1" t="str">
        <f>TEXT(InputData[[#This Row],[DATE]],"mmmm")</f>
        <v>July</v>
      </c>
      <c r="J456" s="1" t="str">
        <f>TEXT(InputData[[#This Row],[DATE]],"ddd")</f>
        <v>Thu</v>
      </c>
      <c r="K456" s="14">
        <f>WEEKNUM(InputData[[#This Row],[DATE]])</f>
        <v>28</v>
      </c>
      <c r="N456"/>
      <c r="R456" s="3" t="s">
        <v>69</v>
      </c>
      <c r="S456" s="1" t="str">
        <f t="shared" si="14"/>
        <v>Southcote Industries</v>
      </c>
      <c r="V456"/>
      <c r="Z456" s="11" t="s">
        <v>18</v>
      </c>
      <c r="AA456" s="1" t="str">
        <f t="shared" si="15"/>
        <v>Split Pin 5mm</v>
      </c>
      <c r="AF456"/>
    </row>
    <row r="457" spans="1:32" x14ac:dyDescent="0.3">
      <c r="A457" s="10">
        <v>44386</v>
      </c>
      <c r="B457" s="3" t="s">
        <v>158</v>
      </c>
      <c r="C457" s="11" t="s">
        <v>234</v>
      </c>
      <c r="D457" s="12">
        <v>85.5</v>
      </c>
      <c r="E457" s="1">
        <v>11</v>
      </c>
      <c r="F457" s="13">
        <f>InputData[[#This Row],[QUANTITY]]*InputData[[#This Row],[UNIT PRICE (R)]]</f>
        <v>940.5</v>
      </c>
      <c r="G457" s="1" t="str">
        <f>VLOOKUP(InputData[[#This Row],[CUSTOMER NAME]],Country[],2,0)</f>
        <v>Russia</v>
      </c>
      <c r="H457" s="1" t="str">
        <f>VLOOKUP(InputData[[#This Row],[CUSTOMER NAME]],Country[],3,0)</f>
        <v>Export</v>
      </c>
      <c r="I457" s="1" t="str">
        <f>TEXT(InputData[[#This Row],[DATE]],"mmmm")</f>
        <v>July</v>
      </c>
      <c r="J457" s="1" t="str">
        <f>TEXT(InputData[[#This Row],[DATE]],"ddd")</f>
        <v>Fri</v>
      </c>
      <c r="K457" s="14">
        <f>WEEKNUM(InputData[[#This Row],[DATE]])</f>
        <v>28</v>
      </c>
      <c r="N457"/>
      <c r="R457" s="3" t="s">
        <v>75</v>
      </c>
      <c r="S457" s="1" t="str">
        <f t="shared" si="14"/>
        <v>Cranfield &amp; Co.</v>
      </c>
      <c r="V457"/>
      <c r="Z457" s="11" t="s">
        <v>4</v>
      </c>
      <c r="AA457" s="1" t="str">
        <f t="shared" si="15"/>
        <v>Carriage Bolt M8</v>
      </c>
      <c r="AF457"/>
    </row>
    <row r="458" spans="1:32" x14ac:dyDescent="0.3">
      <c r="A458" s="10">
        <v>44387</v>
      </c>
      <c r="B458" s="3" t="s">
        <v>149</v>
      </c>
      <c r="C458" s="11" t="s">
        <v>238</v>
      </c>
      <c r="D458" s="12">
        <v>164.28</v>
      </c>
      <c r="E458" s="1">
        <v>15</v>
      </c>
      <c r="F458" s="13">
        <f>InputData[[#This Row],[QUANTITY]]*InputData[[#This Row],[UNIT PRICE (R)]]</f>
        <v>2464.1999999999998</v>
      </c>
      <c r="G458" s="1" t="str">
        <f>VLOOKUP(InputData[[#This Row],[CUSTOMER NAME]],Country[],2,0)</f>
        <v>Indonesia</v>
      </c>
      <c r="H458" s="1" t="str">
        <f>VLOOKUP(InputData[[#This Row],[CUSTOMER NAME]],Country[],3,0)</f>
        <v>Export</v>
      </c>
      <c r="I458" s="1" t="str">
        <f>TEXT(InputData[[#This Row],[DATE]],"mmmm")</f>
        <v>July</v>
      </c>
      <c r="J458" s="1" t="str">
        <f>TEXT(InputData[[#This Row],[DATE]],"ddd")</f>
        <v>Sat</v>
      </c>
      <c r="K458" s="14">
        <f>WEEKNUM(InputData[[#This Row],[DATE]])</f>
        <v>28</v>
      </c>
      <c r="N458"/>
      <c r="R458" s="3" t="s">
        <v>63</v>
      </c>
      <c r="S458" s="1" t="str">
        <f t="shared" si="14"/>
        <v>Ovenden &amp; Sons</v>
      </c>
      <c r="V458"/>
      <c r="Z458" s="11" t="s">
        <v>6</v>
      </c>
      <c r="AA458" s="1" t="str">
        <f t="shared" si="15"/>
        <v>Flange Nut M10</v>
      </c>
      <c r="AF458"/>
    </row>
    <row r="459" spans="1:32" x14ac:dyDescent="0.3">
      <c r="A459" s="10">
        <v>44387</v>
      </c>
      <c r="B459" s="3" t="s">
        <v>164</v>
      </c>
      <c r="C459" s="11" t="s">
        <v>260</v>
      </c>
      <c r="D459" s="12">
        <v>117.48</v>
      </c>
      <c r="E459" s="1">
        <v>12</v>
      </c>
      <c r="F459" s="13">
        <f>InputData[[#This Row],[QUANTITY]]*InputData[[#This Row],[UNIT PRICE (R)]]</f>
        <v>1409.76</v>
      </c>
      <c r="G459" s="1" t="str">
        <f>VLOOKUP(InputData[[#This Row],[CUSTOMER NAME]],Country[],2,0)</f>
        <v>India</v>
      </c>
      <c r="H459" s="1" t="str">
        <f>VLOOKUP(InputData[[#This Row],[CUSTOMER NAME]],Country[],3,0)</f>
        <v>East</v>
      </c>
      <c r="I459" s="1" t="str">
        <f>TEXT(InputData[[#This Row],[DATE]],"mmmm")</f>
        <v>July</v>
      </c>
      <c r="J459" s="1" t="str">
        <f>TEXT(InputData[[#This Row],[DATE]],"ddd")</f>
        <v>Sat</v>
      </c>
      <c r="K459" s="14">
        <f>WEEKNUM(InputData[[#This Row],[DATE]])</f>
        <v>28</v>
      </c>
      <c r="N459"/>
      <c r="R459" s="3" t="s">
        <v>54</v>
      </c>
      <c r="S459" s="1" t="str">
        <f t="shared" si="14"/>
        <v>Kestrel Logistics</v>
      </c>
      <c r="V459"/>
      <c r="Z459" s="11" t="s">
        <v>10</v>
      </c>
      <c r="AA459" s="1" t="str">
        <f t="shared" si="15"/>
        <v>Self-Tapping Screw 25mm</v>
      </c>
      <c r="AF459"/>
    </row>
    <row r="460" spans="1:32" x14ac:dyDescent="0.3">
      <c r="A460" s="10">
        <v>44387</v>
      </c>
      <c r="B460" s="3" t="s">
        <v>170</v>
      </c>
      <c r="C460" s="11" t="s">
        <v>262</v>
      </c>
      <c r="D460" s="12">
        <v>58.3</v>
      </c>
      <c r="E460" s="1">
        <v>6</v>
      </c>
      <c r="F460" s="13">
        <f>InputData[[#This Row],[QUANTITY]]*InputData[[#This Row],[UNIT PRICE (R)]]</f>
        <v>349.79999999999995</v>
      </c>
      <c r="G460" s="1" t="str">
        <f>VLOOKUP(InputData[[#This Row],[CUSTOMER NAME]],Country[],2,0)</f>
        <v>France</v>
      </c>
      <c r="H460" s="1" t="str">
        <f>VLOOKUP(InputData[[#This Row],[CUSTOMER NAME]],Country[],3,0)</f>
        <v>Export</v>
      </c>
      <c r="I460" s="1" t="str">
        <f>TEXT(InputData[[#This Row],[DATE]],"mmmm")</f>
        <v>July</v>
      </c>
      <c r="J460" s="1" t="str">
        <f>TEXT(InputData[[#This Row],[DATE]],"ddd")</f>
        <v>Sat</v>
      </c>
      <c r="K460" s="14">
        <f>WEEKNUM(InputData[[#This Row],[DATE]])</f>
        <v>28</v>
      </c>
      <c r="N460"/>
      <c r="R460" s="3" t="s">
        <v>69</v>
      </c>
      <c r="S460" s="1" t="str">
        <f t="shared" si="14"/>
        <v>Southcote Industries</v>
      </c>
      <c r="V460"/>
      <c r="Z460" s="11" t="s">
        <v>32</v>
      </c>
      <c r="AA460" s="1" t="str">
        <f t="shared" si="15"/>
        <v>Corner Bracket 50mm</v>
      </c>
      <c r="AF460"/>
    </row>
    <row r="461" spans="1:32" x14ac:dyDescent="0.3">
      <c r="A461" s="10">
        <v>44388</v>
      </c>
      <c r="B461" s="3" t="s">
        <v>172</v>
      </c>
      <c r="C461" s="11" t="s">
        <v>237</v>
      </c>
      <c r="D461" s="12">
        <v>7.8599999999999994</v>
      </c>
      <c r="E461" s="1">
        <v>4</v>
      </c>
      <c r="F461" s="13">
        <f>InputData[[#This Row],[QUANTITY]]*InputData[[#This Row],[UNIT PRICE (R)]]</f>
        <v>31.439999999999998</v>
      </c>
      <c r="G461" s="1" t="str">
        <f>VLOOKUP(InputData[[#This Row],[CUSTOMER NAME]],Country[],2,0)</f>
        <v>Mexico</v>
      </c>
      <c r="H461" s="1" t="str">
        <f>VLOOKUP(InputData[[#This Row],[CUSTOMER NAME]],Country[],3,0)</f>
        <v>Export</v>
      </c>
      <c r="I461" s="1" t="str">
        <f>TEXT(InputData[[#This Row],[DATE]],"mmmm")</f>
        <v>July</v>
      </c>
      <c r="J461" s="1" t="str">
        <f>TEXT(InputData[[#This Row],[DATE]],"ddd")</f>
        <v>Sun</v>
      </c>
      <c r="K461" s="14">
        <f>WEEKNUM(InputData[[#This Row],[DATE]])</f>
        <v>29</v>
      </c>
      <c r="N461"/>
      <c r="R461" s="3" t="s">
        <v>75</v>
      </c>
      <c r="S461" s="1" t="str">
        <f t="shared" si="14"/>
        <v>Cranfield &amp; Co.</v>
      </c>
      <c r="V461"/>
      <c r="Z461" s="11" t="s">
        <v>34</v>
      </c>
      <c r="AA461" s="1" t="str">
        <f t="shared" si="15"/>
        <v>L-Bracket 75mm</v>
      </c>
      <c r="AF461"/>
    </row>
    <row r="462" spans="1:32" x14ac:dyDescent="0.3">
      <c r="A462" s="10">
        <v>44389</v>
      </c>
      <c r="B462" s="3" t="s">
        <v>148</v>
      </c>
      <c r="C462" s="11" t="s">
        <v>256</v>
      </c>
      <c r="D462" s="12">
        <v>41.81</v>
      </c>
      <c r="E462" s="1">
        <v>12</v>
      </c>
      <c r="F462" s="13">
        <f>InputData[[#This Row],[QUANTITY]]*InputData[[#This Row],[UNIT PRICE (R)]]</f>
        <v>501.72</v>
      </c>
      <c r="G462" s="1" t="str">
        <f>VLOOKUP(InputData[[#This Row],[CUSTOMER NAME]],Country[],2,0)</f>
        <v>Pakistan</v>
      </c>
      <c r="H462" s="1" t="str">
        <f>VLOOKUP(InputData[[#This Row],[CUSTOMER NAME]],Country[],3,0)</f>
        <v>Export</v>
      </c>
      <c r="I462" s="1" t="str">
        <f>TEXT(InputData[[#This Row],[DATE]],"mmmm")</f>
        <v>July</v>
      </c>
      <c r="J462" s="1" t="str">
        <f>TEXT(InputData[[#This Row],[DATE]],"ddd")</f>
        <v>Mon</v>
      </c>
      <c r="K462" s="14">
        <f>WEEKNUM(InputData[[#This Row],[DATE]])</f>
        <v>29</v>
      </c>
      <c r="N462"/>
      <c r="R462" s="3" t="s">
        <v>77</v>
      </c>
      <c r="S462" s="1" t="str">
        <f t="shared" si="14"/>
        <v>Fenwick Traders</v>
      </c>
      <c r="V462"/>
      <c r="Z462" s="11" t="s">
        <v>9</v>
      </c>
      <c r="AA462" s="1" t="str">
        <f t="shared" si="15"/>
        <v>Threaded Rod M12</v>
      </c>
      <c r="AF462"/>
    </row>
    <row r="463" spans="1:32" x14ac:dyDescent="0.3">
      <c r="A463" s="10">
        <v>44389</v>
      </c>
      <c r="B463" s="3" t="s">
        <v>159</v>
      </c>
      <c r="C463" s="11" t="s">
        <v>267</v>
      </c>
      <c r="D463" s="12">
        <v>42.55</v>
      </c>
      <c r="E463" s="1">
        <v>4</v>
      </c>
      <c r="F463" s="13">
        <f>InputData[[#This Row],[QUANTITY]]*InputData[[#This Row],[UNIT PRICE (R)]]</f>
        <v>170.2</v>
      </c>
      <c r="G463" s="1" t="str">
        <f>VLOOKUP(InputData[[#This Row],[CUSTOMER NAME]],Country[],2,0)</f>
        <v>Saudi Arabia</v>
      </c>
      <c r="H463" s="1" t="str">
        <f>VLOOKUP(InputData[[#This Row],[CUSTOMER NAME]],Country[],3,0)</f>
        <v>Export</v>
      </c>
      <c r="I463" s="1" t="str">
        <f>TEXT(InputData[[#This Row],[DATE]],"mmmm")</f>
        <v>July</v>
      </c>
      <c r="J463" s="1" t="str">
        <f>TEXT(InputData[[#This Row],[DATE]],"ddd")</f>
        <v>Mon</v>
      </c>
      <c r="K463" s="14">
        <f>WEEKNUM(InputData[[#This Row],[DATE]])</f>
        <v>29</v>
      </c>
      <c r="N463"/>
      <c r="R463" s="3" t="s">
        <v>53</v>
      </c>
      <c r="S463" s="1" t="str">
        <f t="shared" si="14"/>
        <v>Vantage Point Retailers</v>
      </c>
      <c r="V463"/>
      <c r="Z463" s="11" t="s">
        <v>28</v>
      </c>
      <c r="AA463" s="1" t="str">
        <f t="shared" si="15"/>
        <v>Cabinet Hinge 75mm</v>
      </c>
      <c r="AF463"/>
    </row>
    <row r="464" spans="1:32" x14ac:dyDescent="0.3">
      <c r="A464" s="10">
        <v>44390</v>
      </c>
      <c r="B464" s="3" t="s">
        <v>143</v>
      </c>
      <c r="C464" s="11" t="s">
        <v>247</v>
      </c>
      <c r="D464" s="12">
        <v>210</v>
      </c>
      <c r="E464" s="1">
        <v>1</v>
      </c>
      <c r="F464" s="13">
        <f>InputData[[#This Row],[QUANTITY]]*InputData[[#This Row],[UNIT PRICE (R)]]</f>
        <v>210</v>
      </c>
      <c r="G464" s="1" t="str">
        <f>VLOOKUP(InputData[[#This Row],[CUSTOMER NAME]],Country[],2,0)</f>
        <v>Nigeria</v>
      </c>
      <c r="H464" s="1" t="str">
        <f>VLOOKUP(InputData[[#This Row],[CUSTOMER NAME]],Country[],3,0)</f>
        <v>Export</v>
      </c>
      <c r="I464" s="1" t="str">
        <f>TEXT(InputData[[#This Row],[DATE]],"mmmm")</f>
        <v>July</v>
      </c>
      <c r="J464" s="1" t="str">
        <f>TEXT(InputData[[#This Row],[DATE]],"ddd")</f>
        <v>Tue</v>
      </c>
      <c r="K464" s="14">
        <f>WEEKNUM(InputData[[#This Row],[DATE]])</f>
        <v>29</v>
      </c>
      <c r="N464"/>
      <c r="R464" s="3" t="s">
        <v>64</v>
      </c>
      <c r="S464" s="1" t="str">
        <f t="shared" si="14"/>
        <v>Ridgeway Commercial</v>
      </c>
      <c r="V464"/>
      <c r="Z464" s="11" t="s">
        <v>39</v>
      </c>
      <c r="AA464" s="1" t="str">
        <f t="shared" si="15"/>
        <v>Cable Clip 20mm</v>
      </c>
      <c r="AF464"/>
    </row>
    <row r="465" spans="1:32" x14ac:dyDescent="0.3">
      <c r="A465" s="10">
        <v>44390</v>
      </c>
      <c r="B465" s="3" t="s">
        <v>163</v>
      </c>
      <c r="C465" s="11" t="s">
        <v>253</v>
      </c>
      <c r="D465" s="12">
        <v>8.33</v>
      </c>
      <c r="E465" s="1">
        <v>7</v>
      </c>
      <c r="F465" s="13">
        <f>InputData[[#This Row],[QUANTITY]]*InputData[[#This Row],[UNIT PRICE (R)]]</f>
        <v>58.31</v>
      </c>
      <c r="G465" s="1" t="str">
        <f>VLOOKUP(InputData[[#This Row],[CUSTOMER NAME]],Country[],2,0)</f>
        <v>South Africa</v>
      </c>
      <c r="H465" s="1" t="str">
        <f>VLOOKUP(InputData[[#This Row],[CUSTOMER NAME]],Country[],3,0)</f>
        <v>Export</v>
      </c>
      <c r="I465" s="1" t="str">
        <f>TEXT(InputData[[#This Row],[DATE]],"mmmm")</f>
        <v>July</v>
      </c>
      <c r="J465" s="1" t="str">
        <f>TEXT(InputData[[#This Row],[DATE]],"ddd")</f>
        <v>Tue</v>
      </c>
      <c r="K465" s="14">
        <f>WEEKNUM(InputData[[#This Row],[DATE]])</f>
        <v>29</v>
      </c>
      <c r="N465"/>
      <c r="R465" s="3" t="s">
        <v>48</v>
      </c>
      <c r="S465" s="1" t="str">
        <f t="shared" si="14"/>
        <v>Thornwell Trading</v>
      </c>
      <c r="V465"/>
      <c r="Z465" s="11" t="s">
        <v>19</v>
      </c>
      <c r="AA465" s="1" t="str">
        <f t="shared" si="15"/>
        <v>Anchor Bolt M10</v>
      </c>
      <c r="AF465"/>
    </row>
    <row r="466" spans="1:32" x14ac:dyDescent="0.3">
      <c r="A466" s="10">
        <v>44390</v>
      </c>
      <c r="B466" s="3" t="s">
        <v>171</v>
      </c>
      <c r="C466" s="11" t="s">
        <v>250</v>
      </c>
      <c r="D466" s="12">
        <v>141.57</v>
      </c>
      <c r="E466" s="1">
        <v>5</v>
      </c>
      <c r="F466" s="13">
        <f>InputData[[#This Row],[QUANTITY]]*InputData[[#This Row],[UNIT PRICE (R)]]</f>
        <v>707.84999999999991</v>
      </c>
      <c r="G466" s="1" t="str">
        <f>VLOOKUP(InputData[[#This Row],[CUSTOMER NAME]],Country[],2,0)</f>
        <v>India</v>
      </c>
      <c r="H466" s="1" t="str">
        <f>VLOOKUP(InputData[[#This Row],[CUSTOMER NAME]],Country[],3,0)</f>
        <v>South</v>
      </c>
      <c r="I466" s="1" t="str">
        <f>TEXT(InputData[[#This Row],[DATE]],"mmmm")</f>
        <v>July</v>
      </c>
      <c r="J466" s="1" t="str">
        <f>TEXT(InputData[[#This Row],[DATE]],"ddd")</f>
        <v>Tue</v>
      </c>
      <c r="K466" s="14">
        <f>WEEKNUM(InputData[[#This Row],[DATE]])</f>
        <v>29</v>
      </c>
      <c r="N466"/>
      <c r="R466" s="3" t="s">
        <v>68</v>
      </c>
      <c r="S466" s="1" t="str">
        <f t="shared" si="14"/>
        <v>Delacroix Wholesale</v>
      </c>
      <c r="V466"/>
      <c r="Z466" s="11" t="s">
        <v>25</v>
      </c>
      <c r="AA466" s="1" t="str">
        <f t="shared" si="15"/>
        <v>Turnbuckle M8</v>
      </c>
      <c r="AF466"/>
    </row>
    <row r="467" spans="1:32" x14ac:dyDescent="0.3">
      <c r="A467" s="10">
        <v>44391</v>
      </c>
      <c r="B467" s="3" t="s">
        <v>144</v>
      </c>
      <c r="C467" s="11" t="s">
        <v>261</v>
      </c>
      <c r="D467" s="12">
        <v>119.7</v>
      </c>
      <c r="E467" s="1">
        <v>9</v>
      </c>
      <c r="F467" s="13">
        <f>InputData[[#This Row],[QUANTITY]]*InputData[[#This Row],[UNIT PRICE (R)]]</f>
        <v>1077.3</v>
      </c>
      <c r="G467" s="1" t="str">
        <f>VLOOKUP(InputData[[#This Row],[CUSTOMER NAME]],Country[],2,0)</f>
        <v>Bangladesh</v>
      </c>
      <c r="H467" s="1" t="str">
        <f>VLOOKUP(InputData[[#This Row],[CUSTOMER NAME]],Country[],3,0)</f>
        <v>Export</v>
      </c>
      <c r="I467" s="1" t="str">
        <f>TEXT(InputData[[#This Row],[DATE]],"mmmm")</f>
        <v>July</v>
      </c>
      <c r="J467" s="1" t="str">
        <f>TEXT(InputData[[#This Row],[DATE]],"ddd")</f>
        <v>Wed</v>
      </c>
      <c r="K467" s="14">
        <f>WEEKNUM(InputData[[#This Row],[DATE]])</f>
        <v>29</v>
      </c>
      <c r="N467"/>
      <c r="R467" s="3" t="s">
        <v>76</v>
      </c>
      <c r="S467" s="1" t="str">
        <f t="shared" si="14"/>
        <v>Overton Retail Solutions</v>
      </c>
      <c r="V467"/>
      <c r="Z467" s="11" t="s">
        <v>22</v>
      </c>
      <c r="AA467" s="1" t="str">
        <f t="shared" si="15"/>
        <v>Hose Clamp 32mm</v>
      </c>
      <c r="AF467"/>
    </row>
    <row r="468" spans="1:32" x14ac:dyDescent="0.3">
      <c r="A468" s="10">
        <v>44391</v>
      </c>
      <c r="B468" s="3" t="s">
        <v>163</v>
      </c>
      <c r="C468" s="11" t="s">
        <v>240</v>
      </c>
      <c r="D468" s="12">
        <v>94.17</v>
      </c>
      <c r="E468" s="1">
        <v>13</v>
      </c>
      <c r="F468" s="13">
        <f>InputData[[#This Row],[QUANTITY]]*InputData[[#This Row],[UNIT PRICE (R)]]</f>
        <v>1224.21</v>
      </c>
      <c r="G468" s="1" t="str">
        <f>VLOOKUP(InputData[[#This Row],[CUSTOMER NAME]],Country[],2,0)</f>
        <v>South Africa</v>
      </c>
      <c r="H468" s="1" t="str">
        <f>VLOOKUP(InputData[[#This Row],[CUSTOMER NAME]],Country[],3,0)</f>
        <v>Export</v>
      </c>
      <c r="I468" s="1" t="str">
        <f>TEXT(InputData[[#This Row],[DATE]],"mmmm")</f>
        <v>July</v>
      </c>
      <c r="J468" s="1" t="str">
        <f>TEXT(InputData[[#This Row],[DATE]],"ddd")</f>
        <v>Wed</v>
      </c>
      <c r="K468" s="14">
        <f>WEEKNUM(InputData[[#This Row],[DATE]])</f>
        <v>29</v>
      </c>
      <c r="N468"/>
      <c r="R468" s="3" t="s">
        <v>49</v>
      </c>
      <c r="S468" s="1" t="str">
        <f t="shared" si="14"/>
        <v>Baxter &amp; Kline Supplies</v>
      </c>
      <c r="V468"/>
      <c r="Z468" s="11" t="s">
        <v>33</v>
      </c>
      <c r="AA468" s="1" t="str">
        <f t="shared" si="15"/>
        <v>Shelf Bracket 200mm</v>
      </c>
      <c r="AF468"/>
    </row>
    <row r="469" spans="1:32" x14ac:dyDescent="0.3">
      <c r="A469" s="10">
        <v>44392</v>
      </c>
      <c r="B469" s="3" t="s">
        <v>158</v>
      </c>
      <c r="C469" s="11" t="s">
        <v>271</v>
      </c>
      <c r="D469" s="12">
        <v>83.08</v>
      </c>
      <c r="E469" s="1">
        <v>18</v>
      </c>
      <c r="F469" s="13">
        <f>InputData[[#This Row],[QUANTITY]]*InputData[[#This Row],[UNIT PRICE (R)]]</f>
        <v>1495.44</v>
      </c>
      <c r="G469" s="1" t="str">
        <f>VLOOKUP(InputData[[#This Row],[CUSTOMER NAME]],Country[],2,0)</f>
        <v>Russia</v>
      </c>
      <c r="H469" s="1" t="str">
        <f>VLOOKUP(InputData[[#This Row],[CUSTOMER NAME]],Country[],3,0)</f>
        <v>Export</v>
      </c>
      <c r="I469" s="1" t="str">
        <f>TEXT(InputData[[#This Row],[DATE]],"mmmm")</f>
        <v>July</v>
      </c>
      <c r="J469" s="1" t="str">
        <f>TEXT(InputData[[#This Row],[DATE]],"ddd")</f>
        <v>Thu</v>
      </c>
      <c r="K469" s="14">
        <f>WEEKNUM(InputData[[#This Row],[DATE]])</f>
        <v>29</v>
      </c>
      <c r="N469"/>
      <c r="R469" s="3" t="s">
        <v>68</v>
      </c>
      <c r="S469" s="1" t="str">
        <f t="shared" si="14"/>
        <v>Delacroix Wholesale</v>
      </c>
      <c r="V469"/>
      <c r="Z469" s="11" t="s">
        <v>12</v>
      </c>
      <c r="AA469" s="1" t="str">
        <f t="shared" si="15"/>
        <v>Drywall Screw 30mm</v>
      </c>
      <c r="AF469"/>
    </row>
    <row r="470" spans="1:32" x14ac:dyDescent="0.3">
      <c r="A470" s="10">
        <v>44392</v>
      </c>
      <c r="B470" s="3" t="s">
        <v>172</v>
      </c>
      <c r="C470" s="11" t="s">
        <v>232</v>
      </c>
      <c r="D470" s="12">
        <v>48.84</v>
      </c>
      <c r="E470" s="1">
        <v>2</v>
      </c>
      <c r="F470" s="13">
        <f>InputData[[#This Row],[QUANTITY]]*InputData[[#This Row],[UNIT PRICE (R)]]</f>
        <v>97.68</v>
      </c>
      <c r="G470" s="1" t="str">
        <f>VLOOKUP(InputData[[#This Row],[CUSTOMER NAME]],Country[],2,0)</f>
        <v>Mexico</v>
      </c>
      <c r="H470" s="1" t="str">
        <f>VLOOKUP(InputData[[#This Row],[CUSTOMER NAME]],Country[],3,0)</f>
        <v>Export</v>
      </c>
      <c r="I470" s="1" t="str">
        <f>TEXT(InputData[[#This Row],[DATE]],"mmmm")</f>
        <v>July</v>
      </c>
      <c r="J470" s="1" t="str">
        <f>TEXT(InputData[[#This Row],[DATE]],"ddd")</f>
        <v>Thu</v>
      </c>
      <c r="K470" s="14">
        <f>WEEKNUM(InputData[[#This Row],[DATE]])</f>
        <v>29</v>
      </c>
      <c r="N470"/>
      <c r="R470" s="3" t="s">
        <v>63</v>
      </c>
      <c r="S470" s="1" t="str">
        <f t="shared" si="14"/>
        <v>Ovenden &amp; Sons</v>
      </c>
      <c r="V470"/>
      <c r="Z470" s="11" t="s">
        <v>43</v>
      </c>
      <c r="AA470" s="1" t="str">
        <f t="shared" si="15"/>
        <v>Copper Pipe Fitting 15mm</v>
      </c>
      <c r="AF470"/>
    </row>
    <row r="471" spans="1:32" x14ac:dyDescent="0.3">
      <c r="A471" s="10">
        <v>44393</v>
      </c>
      <c r="B471" s="3" t="s">
        <v>148</v>
      </c>
      <c r="C471" s="11" t="s">
        <v>260</v>
      </c>
      <c r="D471" s="12">
        <v>117.48</v>
      </c>
      <c r="E471" s="1">
        <v>33</v>
      </c>
      <c r="F471" s="13">
        <f>InputData[[#This Row],[QUANTITY]]*InputData[[#This Row],[UNIT PRICE (R)]]</f>
        <v>3876.84</v>
      </c>
      <c r="G471" s="1" t="str">
        <f>VLOOKUP(InputData[[#This Row],[CUSTOMER NAME]],Country[],2,0)</f>
        <v>Pakistan</v>
      </c>
      <c r="H471" s="1" t="str">
        <f>VLOOKUP(InputData[[#This Row],[CUSTOMER NAME]],Country[],3,0)</f>
        <v>Export</v>
      </c>
      <c r="I471" s="1" t="str">
        <f>TEXT(InputData[[#This Row],[DATE]],"mmmm")</f>
        <v>July</v>
      </c>
      <c r="J471" s="1" t="str">
        <f>TEXT(InputData[[#This Row],[DATE]],"ddd")</f>
        <v>Fri</v>
      </c>
      <c r="K471" s="14">
        <f>WEEKNUM(InputData[[#This Row],[DATE]])</f>
        <v>29</v>
      </c>
      <c r="N471"/>
      <c r="R471" s="3" t="s">
        <v>77</v>
      </c>
      <c r="S471" s="1" t="str">
        <f t="shared" si="14"/>
        <v>Fenwick Traders</v>
      </c>
      <c r="V471"/>
      <c r="Z471" s="11" t="s">
        <v>4</v>
      </c>
      <c r="AA471" s="1" t="str">
        <f t="shared" si="15"/>
        <v>Carriage Bolt M8</v>
      </c>
      <c r="AF471"/>
    </row>
    <row r="472" spans="1:32" x14ac:dyDescent="0.3">
      <c r="A472" s="10">
        <v>44393</v>
      </c>
      <c r="B472" s="3" t="s">
        <v>152</v>
      </c>
      <c r="C472" s="11" t="s">
        <v>251</v>
      </c>
      <c r="D472" s="12">
        <v>149.46</v>
      </c>
      <c r="E472" s="1">
        <v>8</v>
      </c>
      <c r="F472" s="13">
        <f>InputData[[#This Row],[QUANTITY]]*InputData[[#This Row],[UNIT PRICE (R)]]</f>
        <v>1195.68</v>
      </c>
      <c r="G472" s="1" t="str">
        <f>VLOOKUP(InputData[[#This Row],[CUSTOMER NAME]],Country[],2,0)</f>
        <v>India</v>
      </c>
      <c r="H472" s="1" t="str">
        <f>VLOOKUP(InputData[[#This Row],[CUSTOMER NAME]],Country[],3,0)</f>
        <v>South</v>
      </c>
      <c r="I472" s="1" t="str">
        <f>TEXT(InputData[[#This Row],[DATE]],"mmmm")</f>
        <v>July</v>
      </c>
      <c r="J472" s="1" t="str">
        <f>TEXT(InputData[[#This Row],[DATE]],"ddd")</f>
        <v>Fri</v>
      </c>
      <c r="K472" s="14">
        <f>WEEKNUM(InputData[[#This Row],[DATE]])</f>
        <v>29</v>
      </c>
      <c r="N472"/>
      <c r="R472" s="3" t="s">
        <v>53</v>
      </c>
      <c r="S472" s="1" t="str">
        <f t="shared" si="14"/>
        <v>Vantage Point Retailers</v>
      </c>
      <c r="V472"/>
      <c r="Z472" s="11" t="s">
        <v>32</v>
      </c>
      <c r="AA472" s="1" t="str">
        <f t="shared" si="15"/>
        <v>Corner Bracket 50mm</v>
      </c>
      <c r="AF472"/>
    </row>
    <row r="473" spans="1:32" x14ac:dyDescent="0.3">
      <c r="A473" s="10">
        <v>44393</v>
      </c>
      <c r="B473" s="3" t="s">
        <v>153</v>
      </c>
      <c r="C473" s="11" t="s">
        <v>259</v>
      </c>
      <c r="D473" s="12">
        <v>104.16</v>
      </c>
      <c r="E473" s="1">
        <v>35</v>
      </c>
      <c r="F473" s="13">
        <f>InputData[[#This Row],[QUANTITY]]*InputData[[#This Row],[UNIT PRICE (R)]]</f>
        <v>3645.6</v>
      </c>
      <c r="G473" s="1" t="str">
        <f>VLOOKUP(InputData[[#This Row],[CUSTOMER NAME]],Country[],2,0)</f>
        <v>Mexico</v>
      </c>
      <c r="H473" s="1" t="str">
        <f>VLOOKUP(InputData[[#This Row],[CUSTOMER NAME]],Country[],3,0)</f>
        <v>Export</v>
      </c>
      <c r="I473" s="1" t="str">
        <f>TEXT(InputData[[#This Row],[DATE]],"mmmm")</f>
        <v>July</v>
      </c>
      <c r="J473" s="1" t="str">
        <f>TEXT(InputData[[#This Row],[DATE]],"ddd")</f>
        <v>Fri</v>
      </c>
      <c r="K473" s="14">
        <f>WEEKNUM(InputData[[#This Row],[DATE]])</f>
        <v>29</v>
      </c>
      <c r="N473"/>
      <c r="R473" s="3" t="s">
        <v>57</v>
      </c>
      <c r="S473" s="1" t="str">
        <f t="shared" si="14"/>
        <v>Ashcombe Traders</v>
      </c>
      <c r="V473"/>
      <c r="Z473" s="11" t="s">
        <v>23</v>
      </c>
      <c r="AA473" s="1" t="str">
        <f t="shared" si="15"/>
        <v>U-Bolt M8</v>
      </c>
      <c r="AF473"/>
    </row>
    <row r="474" spans="1:32" x14ac:dyDescent="0.3">
      <c r="A474" s="10">
        <v>44394</v>
      </c>
      <c r="B474" s="3" t="s">
        <v>150</v>
      </c>
      <c r="C474" s="11" t="s">
        <v>229</v>
      </c>
      <c r="D474" s="12">
        <v>103.88</v>
      </c>
      <c r="E474" s="1">
        <v>38</v>
      </c>
      <c r="F474" s="13">
        <f>InputData[[#This Row],[QUANTITY]]*InputData[[#This Row],[UNIT PRICE (R)]]</f>
        <v>3947.4399999999996</v>
      </c>
      <c r="G474" s="1" t="str">
        <f>VLOOKUP(InputData[[#This Row],[CUSTOMER NAME]],Country[],2,0)</f>
        <v>United Kingdom</v>
      </c>
      <c r="H474" s="1" t="str">
        <f>VLOOKUP(InputData[[#This Row],[CUSTOMER NAME]],Country[],3,0)</f>
        <v>Export</v>
      </c>
      <c r="I474" s="1" t="str">
        <f>TEXT(InputData[[#This Row],[DATE]],"mmmm")</f>
        <v>July</v>
      </c>
      <c r="J474" s="1" t="str">
        <f>TEXT(InputData[[#This Row],[DATE]],"ddd")</f>
        <v>Sat</v>
      </c>
      <c r="K474" s="14">
        <f>WEEKNUM(InputData[[#This Row],[DATE]])</f>
        <v>29</v>
      </c>
      <c r="N474"/>
      <c r="R474" s="3" t="s">
        <v>58</v>
      </c>
      <c r="S474" s="1" t="str">
        <f t="shared" si="14"/>
        <v>Redwood Mercantile</v>
      </c>
      <c r="V474"/>
      <c r="Z474" s="11" t="s">
        <v>31</v>
      </c>
      <c r="AA474" s="1" t="str">
        <f t="shared" si="15"/>
        <v>Gate Bolt 150mm</v>
      </c>
      <c r="AF474"/>
    </row>
    <row r="475" spans="1:32" x14ac:dyDescent="0.3">
      <c r="A475" s="10">
        <v>44394</v>
      </c>
      <c r="B475" s="3" t="s">
        <v>158</v>
      </c>
      <c r="C475" s="11" t="s">
        <v>250</v>
      </c>
      <c r="D475" s="12">
        <v>141.57</v>
      </c>
      <c r="E475" s="1">
        <v>18</v>
      </c>
      <c r="F475" s="13">
        <f>InputData[[#This Row],[QUANTITY]]*InputData[[#This Row],[UNIT PRICE (R)]]</f>
        <v>2548.2599999999998</v>
      </c>
      <c r="G475" s="1" t="str">
        <f>VLOOKUP(InputData[[#This Row],[CUSTOMER NAME]],Country[],2,0)</f>
        <v>Russia</v>
      </c>
      <c r="H475" s="1" t="str">
        <f>VLOOKUP(InputData[[#This Row],[CUSTOMER NAME]],Country[],3,0)</f>
        <v>Export</v>
      </c>
      <c r="I475" s="1" t="str">
        <f>TEXT(InputData[[#This Row],[DATE]],"mmmm")</f>
        <v>July</v>
      </c>
      <c r="J475" s="1" t="str">
        <f>TEXT(InputData[[#This Row],[DATE]],"ddd")</f>
        <v>Sat</v>
      </c>
      <c r="K475" s="14">
        <f>WEEKNUM(InputData[[#This Row],[DATE]])</f>
        <v>29</v>
      </c>
      <c r="N475"/>
      <c r="R475" s="3" t="s">
        <v>55</v>
      </c>
      <c r="S475" s="1" t="str">
        <f t="shared" si="14"/>
        <v>Silverline Wholesalers</v>
      </c>
      <c r="V475"/>
      <c r="Z475" s="11" t="s">
        <v>1</v>
      </c>
      <c r="AA475" s="1" t="str">
        <f t="shared" si="15"/>
        <v>Hex Bolt M8</v>
      </c>
      <c r="AF475"/>
    </row>
    <row r="476" spans="1:32" x14ac:dyDescent="0.3">
      <c r="A476" s="10">
        <v>44394</v>
      </c>
      <c r="B476" s="3" t="s">
        <v>165</v>
      </c>
      <c r="C476" s="11" t="s">
        <v>251</v>
      </c>
      <c r="D476" s="12">
        <v>149.46</v>
      </c>
      <c r="E476" s="1">
        <v>30</v>
      </c>
      <c r="F476" s="13">
        <f>InputData[[#This Row],[QUANTITY]]*InputData[[#This Row],[UNIT PRICE (R)]]</f>
        <v>4483.8</v>
      </c>
      <c r="G476" s="1" t="str">
        <f>VLOOKUP(InputData[[#This Row],[CUSTOMER NAME]],Country[],2,0)</f>
        <v>India</v>
      </c>
      <c r="H476" s="1" t="str">
        <f>VLOOKUP(InputData[[#This Row],[CUSTOMER NAME]],Country[],3,0)</f>
        <v>Western</v>
      </c>
      <c r="I476" s="1" t="str">
        <f>TEXT(InputData[[#This Row],[DATE]],"mmmm")</f>
        <v>July</v>
      </c>
      <c r="J476" s="1" t="str">
        <f>TEXT(InputData[[#This Row],[DATE]],"ddd")</f>
        <v>Sat</v>
      </c>
      <c r="K476" s="14">
        <f>WEEKNUM(InputData[[#This Row],[DATE]])</f>
        <v>29</v>
      </c>
      <c r="N476"/>
      <c r="R476" s="3" t="s">
        <v>63</v>
      </c>
      <c r="S476" s="1" t="str">
        <f t="shared" si="14"/>
        <v>Ovenden &amp; Sons</v>
      </c>
      <c r="V476"/>
      <c r="Z476" s="11" t="s">
        <v>22</v>
      </c>
      <c r="AA476" s="1" t="str">
        <f t="shared" si="15"/>
        <v>Hose Clamp 32mm</v>
      </c>
      <c r="AF476"/>
    </row>
    <row r="477" spans="1:32" x14ac:dyDescent="0.3">
      <c r="A477" s="10">
        <v>44394</v>
      </c>
      <c r="B477" s="3" t="s">
        <v>166</v>
      </c>
      <c r="C477" s="11" t="s">
        <v>269</v>
      </c>
      <c r="D477" s="12">
        <v>173.88</v>
      </c>
      <c r="E477" s="1">
        <v>8</v>
      </c>
      <c r="F477" s="13">
        <f>InputData[[#This Row],[QUANTITY]]*InputData[[#This Row],[UNIT PRICE (R)]]</f>
        <v>1391.04</v>
      </c>
      <c r="G477" s="1" t="str">
        <f>VLOOKUP(InputData[[#This Row],[CUSTOMER NAME]],Country[],2,0)</f>
        <v>India</v>
      </c>
      <c r="H477" s="1" t="str">
        <f>VLOOKUP(InputData[[#This Row],[CUSTOMER NAME]],Country[],3,0)</f>
        <v>North</v>
      </c>
      <c r="I477" s="1" t="str">
        <f>TEXT(InputData[[#This Row],[DATE]],"mmmm")</f>
        <v>July</v>
      </c>
      <c r="J477" s="1" t="str">
        <f>TEXT(InputData[[#This Row],[DATE]],"ddd")</f>
        <v>Sat</v>
      </c>
      <c r="K477" s="14">
        <f>WEEKNUM(InputData[[#This Row],[DATE]])</f>
        <v>29</v>
      </c>
      <c r="N477"/>
      <c r="R477" s="3" t="s">
        <v>70</v>
      </c>
      <c r="S477" s="1" t="str">
        <f t="shared" si="14"/>
        <v>Larkspur Retailers</v>
      </c>
      <c r="V477"/>
      <c r="Z477" s="11" t="s">
        <v>23</v>
      </c>
      <c r="AA477" s="1" t="str">
        <f t="shared" si="15"/>
        <v>U-Bolt M8</v>
      </c>
      <c r="AF477"/>
    </row>
    <row r="478" spans="1:32" x14ac:dyDescent="0.3">
      <c r="A478" s="10">
        <v>44395</v>
      </c>
      <c r="B478" s="3" t="s">
        <v>162</v>
      </c>
      <c r="C478" s="11" t="s">
        <v>255</v>
      </c>
      <c r="D478" s="12">
        <v>57.120000000000005</v>
      </c>
      <c r="E478" s="1">
        <v>14</v>
      </c>
      <c r="F478" s="13">
        <f>InputData[[#This Row],[QUANTITY]]*InputData[[#This Row],[UNIT PRICE (R)]]</f>
        <v>799.68000000000006</v>
      </c>
      <c r="G478" s="1" t="str">
        <f>VLOOKUP(InputData[[#This Row],[CUSTOMER NAME]],Country[],2,0)</f>
        <v>United Kingdom</v>
      </c>
      <c r="H478" s="1" t="str">
        <f>VLOOKUP(InputData[[#This Row],[CUSTOMER NAME]],Country[],3,0)</f>
        <v>Export</v>
      </c>
      <c r="I478" s="1" t="str">
        <f>TEXT(InputData[[#This Row],[DATE]],"mmmm")</f>
        <v>July</v>
      </c>
      <c r="J478" s="1" t="str">
        <f>TEXT(InputData[[#This Row],[DATE]],"ddd")</f>
        <v>Sun</v>
      </c>
      <c r="K478" s="14">
        <f>WEEKNUM(InputData[[#This Row],[DATE]])</f>
        <v>30</v>
      </c>
      <c r="N478"/>
      <c r="R478" s="3" t="s">
        <v>71</v>
      </c>
      <c r="S478" s="1" t="str">
        <f t="shared" si="14"/>
        <v>Blackfriars Supply</v>
      </c>
      <c r="V478"/>
      <c r="Z478" s="11" t="s">
        <v>41</v>
      </c>
      <c r="AA478" s="1" t="str">
        <f t="shared" si="15"/>
        <v>PVC Elbow 20mm</v>
      </c>
      <c r="AF478"/>
    </row>
    <row r="479" spans="1:32" x14ac:dyDescent="0.3">
      <c r="A479" s="10">
        <v>44395</v>
      </c>
      <c r="B479" s="3" t="s">
        <v>165</v>
      </c>
      <c r="C479" s="11" t="s">
        <v>238</v>
      </c>
      <c r="D479" s="12">
        <v>164.28</v>
      </c>
      <c r="E479" s="1">
        <v>12</v>
      </c>
      <c r="F479" s="13">
        <f>InputData[[#This Row],[QUANTITY]]*InputData[[#This Row],[UNIT PRICE (R)]]</f>
        <v>1971.3600000000001</v>
      </c>
      <c r="G479" s="1" t="str">
        <f>VLOOKUP(InputData[[#This Row],[CUSTOMER NAME]],Country[],2,0)</f>
        <v>India</v>
      </c>
      <c r="H479" s="1" t="str">
        <f>VLOOKUP(InputData[[#This Row],[CUSTOMER NAME]],Country[],3,0)</f>
        <v>Western</v>
      </c>
      <c r="I479" s="1" t="str">
        <f>TEXT(InputData[[#This Row],[DATE]],"mmmm")</f>
        <v>July</v>
      </c>
      <c r="J479" s="1" t="str">
        <f>TEXT(InputData[[#This Row],[DATE]],"ddd")</f>
        <v>Sun</v>
      </c>
      <c r="K479" s="14">
        <f>WEEKNUM(InputData[[#This Row],[DATE]])</f>
        <v>30</v>
      </c>
      <c r="N479"/>
      <c r="R479" s="3" t="s">
        <v>67</v>
      </c>
      <c r="S479" s="1" t="str">
        <f t="shared" si="14"/>
        <v>Ironbridge Trading Co.</v>
      </c>
      <c r="V479"/>
      <c r="Z479" s="11" t="s">
        <v>27</v>
      </c>
      <c r="AA479" s="1" t="str">
        <f t="shared" si="15"/>
        <v>Padlock Hasp 100mm</v>
      </c>
      <c r="AF479"/>
    </row>
    <row r="480" spans="1:32" x14ac:dyDescent="0.3">
      <c r="A480" s="10">
        <v>44397</v>
      </c>
      <c r="B480" s="3" t="s">
        <v>177</v>
      </c>
      <c r="C480" s="11" t="s">
        <v>266</v>
      </c>
      <c r="D480" s="12">
        <v>79.92</v>
      </c>
      <c r="E480" s="1">
        <v>11</v>
      </c>
      <c r="F480" s="13">
        <f>InputData[[#This Row],[QUANTITY]]*InputData[[#This Row],[UNIT PRICE (R)]]</f>
        <v>879.12</v>
      </c>
      <c r="G480" s="1" t="str">
        <f>VLOOKUP(InputData[[#This Row],[CUSTOMER NAME]],Country[],2,0)</f>
        <v>India</v>
      </c>
      <c r="H480" s="1" t="str">
        <f>VLOOKUP(InputData[[#This Row],[CUSTOMER NAME]],Country[],3,0)</f>
        <v>North</v>
      </c>
      <c r="I480" s="1" t="str">
        <f>TEXT(InputData[[#This Row],[DATE]],"mmmm")</f>
        <v>July</v>
      </c>
      <c r="J480" s="1" t="str">
        <f>TEXT(InputData[[#This Row],[DATE]],"ddd")</f>
        <v>Tue</v>
      </c>
      <c r="K480" s="14">
        <f>WEEKNUM(InputData[[#This Row],[DATE]])</f>
        <v>30</v>
      </c>
      <c r="N480"/>
      <c r="R480" s="3" t="s">
        <v>70</v>
      </c>
      <c r="S480" s="1" t="str">
        <f t="shared" si="14"/>
        <v>Larkspur Retailers</v>
      </c>
      <c r="V480"/>
      <c r="Z480" s="11" t="s">
        <v>10</v>
      </c>
      <c r="AA480" s="1" t="str">
        <f t="shared" si="15"/>
        <v>Self-Tapping Screw 25mm</v>
      </c>
      <c r="AF480"/>
    </row>
    <row r="481" spans="1:32" x14ac:dyDescent="0.3">
      <c r="A481" s="10">
        <v>44397</v>
      </c>
      <c r="B481" s="3" t="s">
        <v>161</v>
      </c>
      <c r="C481" s="11" t="s">
        <v>270</v>
      </c>
      <c r="D481" s="12">
        <v>162</v>
      </c>
      <c r="E481" s="1">
        <v>8</v>
      </c>
      <c r="F481" s="13">
        <f>InputData[[#This Row],[QUANTITY]]*InputData[[#This Row],[UNIT PRICE (R)]]</f>
        <v>1296</v>
      </c>
      <c r="G481" s="1" t="str">
        <f>VLOOKUP(InputData[[#This Row],[CUSTOMER NAME]],Country[],2,0)</f>
        <v>India</v>
      </c>
      <c r="H481" s="1" t="str">
        <f>VLOOKUP(InputData[[#This Row],[CUSTOMER NAME]],Country[],3,0)</f>
        <v>Central</v>
      </c>
      <c r="I481" s="1" t="str">
        <f>TEXT(InputData[[#This Row],[DATE]],"mmmm")</f>
        <v>July</v>
      </c>
      <c r="J481" s="1" t="str">
        <f>TEXT(InputData[[#This Row],[DATE]],"ddd")</f>
        <v>Tue</v>
      </c>
      <c r="K481" s="14">
        <f>WEEKNUM(InputData[[#This Row],[DATE]])</f>
        <v>30</v>
      </c>
      <c r="N481"/>
      <c r="R481" s="3" t="s">
        <v>99</v>
      </c>
      <c r="S481" s="1" t="str">
        <f t="shared" si="14"/>
        <v>Northfield Traders</v>
      </c>
      <c r="V481"/>
      <c r="Z481" s="11" t="s">
        <v>38</v>
      </c>
      <c r="AA481" s="1" t="str">
        <f t="shared" si="15"/>
        <v>Cable Tie 300mm</v>
      </c>
      <c r="AF481"/>
    </row>
    <row r="482" spans="1:32" x14ac:dyDescent="0.3">
      <c r="A482" s="10">
        <v>44397</v>
      </c>
      <c r="B482" s="3" t="s">
        <v>171</v>
      </c>
      <c r="C482" s="11" t="s">
        <v>271</v>
      </c>
      <c r="D482" s="12">
        <v>83.08</v>
      </c>
      <c r="E482" s="1">
        <v>5</v>
      </c>
      <c r="F482" s="13">
        <f>InputData[[#This Row],[QUANTITY]]*InputData[[#This Row],[UNIT PRICE (R)]]</f>
        <v>415.4</v>
      </c>
      <c r="G482" s="1" t="str">
        <f>VLOOKUP(InputData[[#This Row],[CUSTOMER NAME]],Country[],2,0)</f>
        <v>India</v>
      </c>
      <c r="H482" s="1" t="str">
        <f>VLOOKUP(InputData[[#This Row],[CUSTOMER NAME]],Country[],3,0)</f>
        <v>South</v>
      </c>
      <c r="I482" s="1" t="str">
        <f>TEXT(InputData[[#This Row],[DATE]],"mmmm")</f>
        <v>July</v>
      </c>
      <c r="J482" s="1" t="str">
        <f>TEXT(InputData[[#This Row],[DATE]],"ddd")</f>
        <v>Tue</v>
      </c>
      <c r="K482" s="14">
        <f>WEEKNUM(InputData[[#This Row],[DATE]])</f>
        <v>30</v>
      </c>
      <c r="N482"/>
      <c r="R482" s="3" t="s">
        <v>66</v>
      </c>
      <c r="S482" s="1" t="str">
        <f t="shared" si="14"/>
        <v>Whitfield Distributors</v>
      </c>
      <c r="V482"/>
      <c r="Z482" s="11" t="s">
        <v>42</v>
      </c>
      <c r="AA482" s="1" t="str">
        <f t="shared" si="15"/>
        <v>PVC Coupling 25mm</v>
      </c>
      <c r="AF482"/>
    </row>
    <row r="483" spans="1:32" x14ac:dyDescent="0.3">
      <c r="A483" s="10">
        <v>44398</v>
      </c>
      <c r="B483" s="3" t="s">
        <v>144</v>
      </c>
      <c r="C483" s="11" t="s">
        <v>257</v>
      </c>
      <c r="D483" s="12">
        <v>53.11</v>
      </c>
      <c r="E483" s="1">
        <v>15</v>
      </c>
      <c r="F483" s="13">
        <f>InputData[[#This Row],[QUANTITY]]*InputData[[#This Row],[UNIT PRICE (R)]]</f>
        <v>796.65</v>
      </c>
      <c r="G483" s="1" t="str">
        <f>VLOOKUP(InputData[[#This Row],[CUSTOMER NAME]],Country[],2,0)</f>
        <v>Bangladesh</v>
      </c>
      <c r="H483" s="1" t="str">
        <f>VLOOKUP(InputData[[#This Row],[CUSTOMER NAME]],Country[],3,0)</f>
        <v>Export</v>
      </c>
      <c r="I483" s="1" t="str">
        <f>TEXT(InputData[[#This Row],[DATE]],"mmmm")</f>
        <v>July</v>
      </c>
      <c r="J483" s="1" t="str">
        <f>TEXT(InputData[[#This Row],[DATE]],"ddd")</f>
        <v>Wed</v>
      </c>
      <c r="K483" s="14">
        <f>WEEKNUM(InputData[[#This Row],[DATE]])</f>
        <v>30</v>
      </c>
      <c r="N483"/>
      <c r="R483" s="3" t="s">
        <v>76</v>
      </c>
      <c r="S483" s="1" t="str">
        <f t="shared" si="14"/>
        <v>Overton Retail Solutions</v>
      </c>
      <c r="V483"/>
      <c r="Z483" s="11" t="s">
        <v>43</v>
      </c>
      <c r="AA483" s="1" t="str">
        <f t="shared" si="15"/>
        <v>Copper Pipe Fitting 15mm</v>
      </c>
      <c r="AF483"/>
    </row>
    <row r="484" spans="1:32" x14ac:dyDescent="0.3">
      <c r="A484" s="10">
        <v>44399</v>
      </c>
      <c r="B484" s="3" t="s">
        <v>174</v>
      </c>
      <c r="C484" s="11" t="s">
        <v>256</v>
      </c>
      <c r="D484" s="12">
        <v>41.81</v>
      </c>
      <c r="E484" s="1">
        <v>5</v>
      </c>
      <c r="F484" s="13">
        <f>InputData[[#This Row],[QUANTITY]]*InputData[[#This Row],[UNIT PRICE (R)]]</f>
        <v>209.05</v>
      </c>
      <c r="G484" s="1" t="str">
        <f>VLOOKUP(InputData[[#This Row],[CUSTOMER NAME]],Country[],2,0)</f>
        <v>Pakistan</v>
      </c>
      <c r="H484" s="1" t="str">
        <f>VLOOKUP(InputData[[#This Row],[CUSTOMER NAME]],Country[],3,0)</f>
        <v>Export</v>
      </c>
      <c r="I484" s="1" t="str">
        <f>TEXT(InputData[[#This Row],[DATE]],"mmmm")</f>
        <v>July</v>
      </c>
      <c r="J484" s="1" t="str">
        <f>TEXT(InputData[[#This Row],[DATE]],"ddd")</f>
        <v>Thu</v>
      </c>
      <c r="K484" s="14">
        <f>WEEKNUM(InputData[[#This Row],[DATE]])</f>
        <v>30</v>
      </c>
      <c r="N484"/>
      <c r="R484" s="3" t="s">
        <v>49</v>
      </c>
      <c r="S484" s="1" t="str">
        <f t="shared" si="14"/>
        <v>Baxter &amp; Kline Supplies</v>
      </c>
      <c r="V484"/>
      <c r="Z484" s="11" t="s">
        <v>29</v>
      </c>
      <c r="AA484" s="1" t="str">
        <f t="shared" si="15"/>
        <v>Butt Hinge 100mm</v>
      </c>
      <c r="AF484"/>
    </row>
    <row r="485" spans="1:32" x14ac:dyDescent="0.3">
      <c r="A485" s="10">
        <v>44399</v>
      </c>
      <c r="B485" s="3" t="s">
        <v>149</v>
      </c>
      <c r="C485" s="11" t="s">
        <v>252</v>
      </c>
      <c r="D485" s="12">
        <v>156.96</v>
      </c>
      <c r="E485" s="1">
        <v>14</v>
      </c>
      <c r="F485" s="13">
        <f>InputData[[#This Row],[QUANTITY]]*InputData[[#This Row],[UNIT PRICE (R)]]</f>
        <v>2197.44</v>
      </c>
      <c r="G485" s="1" t="str">
        <f>VLOOKUP(InputData[[#This Row],[CUSTOMER NAME]],Country[],2,0)</f>
        <v>Indonesia</v>
      </c>
      <c r="H485" s="1" t="str">
        <f>VLOOKUP(InputData[[#This Row],[CUSTOMER NAME]],Country[],3,0)</f>
        <v>Export</v>
      </c>
      <c r="I485" s="1" t="str">
        <f>TEXT(InputData[[#This Row],[DATE]],"mmmm")</f>
        <v>July</v>
      </c>
      <c r="J485" s="1" t="str">
        <f>TEXT(InputData[[#This Row],[DATE]],"ddd")</f>
        <v>Thu</v>
      </c>
      <c r="K485" s="14">
        <f>WEEKNUM(InputData[[#This Row],[DATE]])</f>
        <v>30</v>
      </c>
      <c r="N485"/>
      <c r="R485" s="3" t="s">
        <v>96</v>
      </c>
      <c r="S485" s="1" t="str">
        <f t="shared" si="14"/>
        <v>Draycott Wholesalers</v>
      </c>
      <c r="V485"/>
      <c r="Z485" s="11" t="s">
        <v>28</v>
      </c>
      <c r="AA485" s="1" t="str">
        <f t="shared" si="15"/>
        <v>Cabinet Hinge 75mm</v>
      </c>
      <c r="AF485"/>
    </row>
    <row r="486" spans="1:32" x14ac:dyDescent="0.3">
      <c r="A486" s="10">
        <v>44399</v>
      </c>
      <c r="B486" s="3" t="s">
        <v>152</v>
      </c>
      <c r="C486" s="11" t="s">
        <v>260</v>
      </c>
      <c r="D486" s="12">
        <v>117.48</v>
      </c>
      <c r="E486" s="1">
        <v>27</v>
      </c>
      <c r="F486" s="13">
        <f>InputData[[#This Row],[QUANTITY]]*InputData[[#This Row],[UNIT PRICE (R)]]</f>
        <v>3171.96</v>
      </c>
      <c r="G486" s="1" t="str">
        <f>VLOOKUP(InputData[[#This Row],[CUSTOMER NAME]],Country[],2,0)</f>
        <v>India</v>
      </c>
      <c r="H486" s="1" t="str">
        <f>VLOOKUP(InputData[[#This Row],[CUSTOMER NAME]],Country[],3,0)</f>
        <v>South</v>
      </c>
      <c r="I486" s="1" t="str">
        <f>TEXT(InputData[[#This Row],[DATE]],"mmmm")</f>
        <v>July</v>
      </c>
      <c r="J486" s="1" t="str">
        <f>TEXT(InputData[[#This Row],[DATE]],"ddd")</f>
        <v>Thu</v>
      </c>
      <c r="K486" s="14">
        <f>WEEKNUM(InputData[[#This Row],[DATE]])</f>
        <v>30</v>
      </c>
      <c r="N486"/>
      <c r="R486" s="3" t="s">
        <v>54</v>
      </c>
      <c r="S486" s="1" t="str">
        <f t="shared" si="14"/>
        <v>Kestrel Logistics</v>
      </c>
      <c r="V486"/>
      <c r="Z486" s="11" t="s">
        <v>24</v>
      </c>
      <c r="AA486" s="1" t="str">
        <f t="shared" si="15"/>
        <v>Eye Bolt M10</v>
      </c>
      <c r="AF486"/>
    </row>
    <row r="487" spans="1:32" x14ac:dyDescent="0.3">
      <c r="A487" s="10">
        <v>44399</v>
      </c>
      <c r="B487" s="3" t="s">
        <v>157</v>
      </c>
      <c r="C487" s="11" t="s">
        <v>254</v>
      </c>
      <c r="D487" s="12">
        <v>24.66</v>
      </c>
      <c r="E487" s="1">
        <v>3</v>
      </c>
      <c r="F487" s="13">
        <f>InputData[[#This Row],[QUANTITY]]*InputData[[#This Row],[UNIT PRICE (R)]]</f>
        <v>73.98</v>
      </c>
      <c r="G487" s="1" t="str">
        <f>VLOOKUP(InputData[[#This Row],[CUSTOMER NAME]],Country[],2,0)</f>
        <v>Brazil</v>
      </c>
      <c r="H487" s="1" t="str">
        <f>VLOOKUP(InputData[[#This Row],[CUSTOMER NAME]],Country[],3,0)</f>
        <v>Export</v>
      </c>
      <c r="I487" s="1" t="str">
        <f>TEXT(InputData[[#This Row],[DATE]],"mmmm")</f>
        <v>July</v>
      </c>
      <c r="J487" s="1" t="str">
        <f>TEXT(InputData[[#This Row],[DATE]],"ddd")</f>
        <v>Thu</v>
      </c>
      <c r="K487" s="14">
        <f>WEEKNUM(InputData[[#This Row],[DATE]])</f>
        <v>30</v>
      </c>
      <c r="N487"/>
      <c r="R487" s="3" t="s">
        <v>57</v>
      </c>
      <c r="S487" s="1" t="str">
        <f t="shared" si="14"/>
        <v>Ashcombe Traders</v>
      </c>
      <c r="V487"/>
      <c r="Z487" s="11" t="s">
        <v>32</v>
      </c>
      <c r="AA487" s="1" t="str">
        <f t="shared" si="15"/>
        <v>Corner Bracket 50mm</v>
      </c>
      <c r="AF487"/>
    </row>
    <row r="488" spans="1:32" x14ac:dyDescent="0.3">
      <c r="A488" s="10">
        <v>44399</v>
      </c>
      <c r="B488" s="3" t="s">
        <v>160</v>
      </c>
      <c r="C488" s="11" t="s">
        <v>262</v>
      </c>
      <c r="D488" s="12">
        <v>58.3</v>
      </c>
      <c r="E488" s="1">
        <v>6</v>
      </c>
      <c r="F488" s="13">
        <f>InputData[[#This Row],[QUANTITY]]*InputData[[#This Row],[UNIT PRICE (R)]]</f>
        <v>349.79999999999995</v>
      </c>
      <c r="G488" s="1" t="str">
        <f>VLOOKUP(InputData[[#This Row],[CUSTOMER NAME]],Country[],2,0)</f>
        <v>India</v>
      </c>
      <c r="H488" s="1" t="str">
        <f>VLOOKUP(InputData[[#This Row],[CUSTOMER NAME]],Country[],3,0)</f>
        <v>Western</v>
      </c>
      <c r="I488" s="1" t="str">
        <f>TEXT(InputData[[#This Row],[DATE]],"mmmm")</f>
        <v>July</v>
      </c>
      <c r="J488" s="1" t="str">
        <f>TEXT(InputData[[#This Row],[DATE]],"ddd")</f>
        <v>Thu</v>
      </c>
      <c r="K488" s="14">
        <f>WEEKNUM(InputData[[#This Row],[DATE]])</f>
        <v>30</v>
      </c>
      <c r="N488"/>
      <c r="R488" s="3" t="s">
        <v>62</v>
      </c>
      <c r="S488" s="1" t="str">
        <f t="shared" si="14"/>
        <v>Marchbank Traders</v>
      </c>
      <c r="V488"/>
      <c r="Z488" s="11" t="s">
        <v>26</v>
      </c>
      <c r="AA488" s="1" t="str">
        <f t="shared" si="15"/>
        <v>Chain Link 6mm</v>
      </c>
      <c r="AF488"/>
    </row>
    <row r="489" spans="1:32" x14ac:dyDescent="0.3">
      <c r="A489" s="10">
        <v>44400</v>
      </c>
      <c r="B489" s="3" t="s">
        <v>150</v>
      </c>
      <c r="C489" s="11" t="s">
        <v>246</v>
      </c>
      <c r="D489" s="12">
        <v>49.21</v>
      </c>
      <c r="E489" s="1">
        <v>2</v>
      </c>
      <c r="F489" s="13">
        <f>InputData[[#This Row],[QUANTITY]]*InputData[[#This Row],[UNIT PRICE (R)]]</f>
        <v>98.42</v>
      </c>
      <c r="G489" s="1" t="str">
        <f>VLOOKUP(InputData[[#This Row],[CUSTOMER NAME]],Country[],2,0)</f>
        <v>United Kingdom</v>
      </c>
      <c r="H489" s="1" t="str">
        <f>VLOOKUP(InputData[[#This Row],[CUSTOMER NAME]],Country[],3,0)</f>
        <v>Export</v>
      </c>
      <c r="I489" s="1" t="str">
        <f>TEXT(InputData[[#This Row],[DATE]],"mmmm")</f>
        <v>July</v>
      </c>
      <c r="J489" s="1" t="str">
        <f>TEXT(InputData[[#This Row],[DATE]],"ddd")</f>
        <v>Fri</v>
      </c>
      <c r="K489" s="14">
        <f>WEEKNUM(InputData[[#This Row],[DATE]])</f>
        <v>30</v>
      </c>
      <c r="N489"/>
      <c r="R489" s="3" t="s">
        <v>65</v>
      </c>
      <c r="S489" s="1" t="str">
        <f t="shared" si="14"/>
        <v>Talbot Street Merchants</v>
      </c>
      <c r="V489"/>
      <c r="Z489" s="11" t="s">
        <v>34</v>
      </c>
      <c r="AA489" s="1" t="str">
        <f t="shared" si="15"/>
        <v>L-Bracket 75mm</v>
      </c>
      <c r="AF489"/>
    </row>
    <row r="490" spans="1:32" x14ac:dyDescent="0.3">
      <c r="A490" s="10">
        <v>44400</v>
      </c>
      <c r="B490" s="3" t="s">
        <v>154</v>
      </c>
      <c r="C490" s="11" t="s">
        <v>271</v>
      </c>
      <c r="D490" s="12">
        <v>83.08</v>
      </c>
      <c r="E490" s="1">
        <v>9</v>
      </c>
      <c r="F490" s="13">
        <f>InputData[[#This Row],[QUANTITY]]*InputData[[#This Row],[UNIT PRICE (R)]]</f>
        <v>747.72</v>
      </c>
      <c r="G490" s="1" t="str">
        <f>VLOOKUP(InputData[[#This Row],[CUSTOMER NAME]],Country[],2,0)</f>
        <v>India</v>
      </c>
      <c r="H490" s="1" t="str">
        <f>VLOOKUP(InputData[[#This Row],[CUSTOMER NAME]],Country[],3,0)</f>
        <v>Central</v>
      </c>
      <c r="I490" s="1" t="str">
        <f>TEXT(InputData[[#This Row],[DATE]],"mmmm")</f>
        <v>July</v>
      </c>
      <c r="J490" s="1" t="str">
        <f>TEXT(InputData[[#This Row],[DATE]],"ddd")</f>
        <v>Fri</v>
      </c>
      <c r="K490" s="14">
        <f>WEEKNUM(InputData[[#This Row],[DATE]])</f>
        <v>30</v>
      </c>
      <c r="N490"/>
      <c r="R490" s="3" t="s">
        <v>55</v>
      </c>
      <c r="S490" s="1" t="str">
        <f t="shared" si="14"/>
        <v>Silverline Wholesalers</v>
      </c>
      <c r="V490"/>
      <c r="Z490" s="11" t="s">
        <v>18</v>
      </c>
      <c r="AA490" s="1" t="str">
        <f t="shared" si="15"/>
        <v>Split Pin 5mm</v>
      </c>
      <c r="AF490"/>
    </row>
    <row r="491" spans="1:32" x14ac:dyDescent="0.3">
      <c r="A491" s="10">
        <v>44400</v>
      </c>
      <c r="B491" s="3" t="s">
        <v>155</v>
      </c>
      <c r="C491" s="11" t="s">
        <v>265</v>
      </c>
      <c r="D491" s="12">
        <v>85.76</v>
      </c>
      <c r="E491" s="1">
        <v>8</v>
      </c>
      <c r="F491" s="13">
        <f>InputData[[#This Row],[QUANTITY]]*InputData[[#This Row],[UNIT PRICE (R)]]</f>
        <v>686.08</v>
      </c>
      <c r="G491" s="1" t="str">
        <f>VLOOKUP(InputData[[#This Row],[CUSTOMER NAME]],Country[],2,0)</f>
        <v>Brazil</v>
      </c>
      <c r="H491" s="1" t="str">
        <f>VLOOKUP(InputData[[#This Row],[CUSTOMER NAME]],Country[],3,0)</f>
        <v>Export</v>
      </c>
      <c r="I491" s="1" t="str">
        <f>TEXT(InputData[[#This Row],[DATE]],"mmmm")</f>
        <v>July</v>
      </c>
      <c r="J491" s="1" t="str">
        <f>TEXT(InputData[[#This Row],[DATE]],"ddd")</f>
        <v>Fri</v>
      </c>
      <c r="K491" s="14">
        <f>WEEKNUM(InputData[[#This Row],[DATE]])</f>
        <v>30</v>
      </c>
      <c r="N491"/>
      <c r="R491" s="3" t="s">
        <v>59</v>
      </c>
      <c r="S491" s="1" t="str">
        <f t="shared" si="14"/>
        <v>Bellview Enterprises</v>
      </c>
      <c r="V491"/>
      <c r="Z491" s="11" t="s">
        <v>43</v>
      </c>
      <c r="AA491" s="1" t="str">
        <f t="shared" si="15"/>
        <v>Copper Pipe Fitting 15mm</v>
      </c>
      <c r="AF491"/>
    </row>
    <row r="492" spans="1:32" x14ac:dyDescent="0.3">
      <c r="A492" s="10">
        <v>44400</v>
      </c>
      <c r="B492" s="3" t="s">
        <v>166</v>
      </c>
      <c r="C492" s="11" t="s">
        <v>264</v>
      </c>
      <c r="D492" s="12">
        <v>96.3</v>
      </c>
      <c r="E492" s="1">
        <v>7</v>
      </c>
      <c r="F492" s="13">
        <f>InputData[[#This Row],[QUANTITY]]*InputData[[#This Row],[UNIT PRICE (R)]]</f>
        <v>674.1</v>
      </c>
      <c r="G492" s="1" t="str">
        <f>VLOOKUP(InputData[[#This Row],[CUSTOMER NAME]],Country[],2,0)</f>
        <v>India</v>
      </c>
      <c r="H492" s="1" t="str">
        <f>VLOOKUP(InputData[[#This Row],[CUSTOMER NAME]],Country[],3,0)</f>
        <v>North</v>
      </c>
      <c r="I492" s="1" t="str">
        <f>TEXT(InputData[[#This Row],[DATE]],"mmmm")</f>
        <v>July</v>
      </c>
      <c r="J492" s="1" t="str">
        <f>TEXT(InputData[[#This Row],[DATE]],"ddd")</f>
        <v>Fri</v>
      </c>
      <c r="K492" s="14">
        <f>WEEKNUM(InputData[[#This Row],[DATE]])</f>
        <v>30</v>
      </c>
      <c r="N492"/>
      <c r="R492" s="3" t="s">
        <v>60</v>
      </c>
      <c r="S492" s="1" t="str">
        <f t="shared" si="14"/>
        <v>Union Cross Supply Co.</v>
      </c>
      <c r="V492"/>
      <c r="Z492" s="11" t="s">
        <v>37</v>
      </c>
      <c r="AA492" s="1" t="str">
        <f t="shared" si="15"/>
        <v>Turnbuckle Hook M6</v>
      </c>
      <c r="AF492"/>
    </row>
    <row r="493" spans="1:32" x14ac:dyDescent="0.3">
      <c r="A493" s="10">
        <v>44401</v>
      </c>
      <c r="B493" s="3" t="s">
        <v>151</v>
      </c>
      <c r="C493" s="11" t="s">
        <v>234</v>
      </c>
      <c r="D493" s="12">
        <v>85.5</v>
      </c>
      <c r="E493" s="1">
        <v>14</v>
      </c>
      <c r="F493" s="13">
        <f>InputData[[#This Row],[QUANTITY]]*InputData[[#This Row],[UNIT PRICE (R)]]</f>
        <v>1197</v>
      </c>
      <c r="G493" s="1" t="str">
        <f>VLOOKUP(InputData[[#This Row],[CUSTOMER NAME]],Country[],2,0)</f>
        <v>Russia</v>
      </c>
      <c r="H493" s="1" t="str">
        <f>VLOOKUP(InputData[[#This Row],[CUSTOMER NAME]],Country[],3,0)</f>
        <v>Export</v>
      </c>
      <c r="I493" s="1" t="str">
        <f>TEXT(InputData[[#This Row],[DATE]],"mmmm")</f>
        <v>July</v>
      </c>
      <c r="J493" s="1" t="str">
        <f>TEXT(InputData[[#This Row],[DATE]],"ddd")</f>
        <v>Sat</v>
      </c>
      <c r="K493" s="14">
        <f>WEEKNUM(InputData[[#This Row],[DATE]])</f>
        <v>30</v>
      </c>
      <c r="N493"/>
      <c r="R493" s="3" t="s">
        <v>71</v>
      </c>
      <c r="S493" s="1" t="str">
        <f t="shared" si="14"/>
        <v>Blackfriars Supply</v>
      </c>
      <c r="V493"/>
      <c r="Z493" s="11" t="s">
        <v>36</v>
      </c>
      <c r="AA493" s="1" t="str">
        <f t="shared" si="15"/>
        <v>Mending Plate 100mm</v>
      </c>
      <c r="AF493"/>
    </row>
    <row r="494" spans="1:32" x14ac:dyDescent="0.3">
      <c r="A494" s="10">
        <v>44401</v>
      </c>
      <c r="B494" s="3" t="s">
        <v>156</v>
      </c>
      <c r="C494" s="11" t="s">
        <v>237</v>
      </c>
      <c r="D494" s="12">
        <v>7.8599999999999994</v>
      </c>
      <c r="E494" s="1">
        <v>4</v>
      </c>
      <c r="F494" s="13">
        <f>InputData[[#This Row],[QUANTITY]]*InputData[[#This Row],[UNIT PRICE (R)]]</f>
        <v>31.439999999999998</v>
      </c>
      <c r="G494" s="1" t="str">
        <f>VLOOKUP(InputData[[#This Row],[CUSTOMER NAME]],Country[],2,0)</f>
        <v>India</v>
      </c>
      <c r="H494" s="1" t="str">
        <f>VLOOKUP(InputData[[#This Row],[CUSTOMER NAME]],Country[],3,0)</f>
        <v>East</v>
      </c>
      <c r="I494" s="1" t="str">
        <f>TEXT(InputData[[#This Row],[DATE]],"mmmm")</f>
        <v>July</v>
      </c>
      <c r="J494" s="1" t="str">
        <f>TEXT(InputData[[#This Row],[DATE]],"ddd")</f>
        <v>Sat</v>
      </c>
      <c r="K494" s="14">
        <f>WEEKNUM(InputData[[#This Row],[DATE]])</f>
        <v>30</v>
      </c>
      <c r="N494"/>
      <c r="R494" s="3" t="s">
        <v>56</v>
      </c>
      <c r="S494" s="1" t="str">
        <f t="shared" si="14"/>
        <v>Northgate Industries</v>
      </c>
      <c r="V494"/>
      <c r="Z494" s="11" t="s">
        <v>6</v>
      </c>
      <c r="AA494" s="1" t="str">
        <f t="shared" si="15"/>
        <v>Flange Nut M10</v>
      </c>
      <c r="AF494"/>
    </row>
    <row r="495" spans="1:32" x14ac:dyDescent="0.3">
      <c r="A495" s="10">
        <v>44401</v>
      </c>
      <c r="B495" s="3" t="s">
        <v>167</v>
      </c>
      <c r="C495" s="11" t="s">
        <v>255</v>
      </c>
      <c r="D495" s="12">
        <v>57.120000000000005</v>
      </c>
      <c r="E495" s="1">
        <v>1</v>
      </c>
      <c r="F495" s="13">
        <f>InputData[[#This Row],[QUANTITY]]*InputData[[#This Row],[UNIT PRICE (R)]]</f>
        <v>57.120000000000005</v>
      </c>
      <c r="G495" s="1" t="str">
        <f>VLOOKUP(InputData[[#This Row],[CUSTOMER NAME]],Country[],2,0)</f>
        <v>Ethiopia</v>
      </c>
      <c r="H495" s="1" t="str">
        <f>VLOOKUP(InputData[[#This Row],[CUSTOMER NAME]],Country[],3,0)</f>
        <v>Export</v>
      </c>
      <c r="I495" s="1" t="str">
        <f>TEXT(InputData[[#This Row],[DATE]],"mmmm")</f>
        <v>July</v>
      </c>
      <c r="J495" s="1" t="str">
        <f>TEXT(InputData[[#This Row],[DATE]],"ddd")</f>
        <v>Sat</v>
      </c>
      <c r="K495" s="14">
        <f>WEEKNUM(InputData[[#This Row],[DATE]])</f>
        <v>30</v>
      </c>
      <c r="N495"/>
      <c r="R495" s="3" t="s">
        <v>61</v>
      </c>
      <c r="S495" s="1" t="str">
        <f t="shared" si="14"/>
        <v>Fairstone Retail Group</v>
      </c>
      <c r="V495"/>
      <c r="Z495" s="11" t="s">
        <v>9</v>
      </c>
      <c r="AA495" s="1" t="str">
        <f t="shared" si="15"/>
        <v>Threaded Rod M12</v>
      </c>
      <c r="AF495"/>
    </row>
    <row r="496" spans="1:32" x14ac:dyDescent="0.3">
      <c r="A496" s="10">
        <v>44402</v>
      </c>
      <c r="B496" s="3" t="s">
        <v>155</v>
      </c>
      <c r="C496" s="11" t="s">
        <v>231</v>
      </c>
      <c r="D496" s="12">
        <v>80.94</v>
      </c>
      <c r="E496" s="1">
        <v>13</v>
      </c>
      <c r="F496" s="13">
        <f>InputData[[#This Row],[QUANTITY]]*InputData[[#This Row],[UNIT PRICE (R)]]</f>
        <v>1052.22</v>
      </c>
      <c r="G496" s="1" t="str">
        <f>VLOOKUP(InputData[[#This Row],[CUSTOMER NAME]],Country[],2,0)</f>
        <v>Brazil</v>
      </c>
      <c r="H496" s="1" t="str">
        <f>VLOOKUP(InputData[[#This Row],[CUSTOMER NAME]],Country[],3,0)</f>
        <v>Export</v>
      </c>
      <c r="I496" s="1" t="str">
        <f>TEXT(InputData[[#This Row],[DATE]],"mmmm")</f>
        <v>July</v>
      </c>
      <c r="J496" s="1" t="str">
        <f>TEXT(InputData[[#This Row],[DATE]],"ddd")</f>
        <v>Sun</v>
      </c>
      <c r="K496" s="14">
        <f>WEEKNUM(InputData[[#This Row],[DATE]])</f>
        <v>31</v>
      </c>
      <c r="N496"/>
      <c r="R496" s="3" t="s">
        <v>72</v>
      </c>
      <c r="S496" s="1" t="str">
        <f t="shared" si="14"/>
        <v>Hendricks Mercantile</v>
      </c>
      <c r="V496"/>
      <c r="Z496" s="11" t="s">
        <v>27</v>
      </c>
      <c r="AA496" s="1" t="str">
        <f t="shared" si="15"/>
        <v>Padlock Hasp 100mm</v>
      </c>
      <c r="AF496"/>
    </row>
    <row r="497" spans="1:32" x14ac:dyDescent="0.3">
      <c r="A497" s="10">
        <v>44402</v>
      </c>
      <c r="B497" s="3" t="s">
        <v>165</v>
      </c>
      <c r="C497" s="11" t="s">
        <v>272</v>
      </c>
      <c r="D497" s="12">
        <v>82.08</v>
      </c>
      <c r="E497" s="1">
        <v>2</v>
      </c>
      <c r="F497" s="13">
        <f>InputData[[#This Row],[QUANTITY]]*InputData[[#This Row],[UNIT PRICE (R)]]</f>
        <v>164.16</v>
      </c>
      <c r="G497" s="1" t="str">
        <f>VLOOKUP(InputData[[#This Row],[CUSTOMER NAME]],Country[],2,0)</f>
        <v>India</v>
      </c>
      <c r="H497" s="1" t="str">
        <f>VLOOKUP(InputData[[#This Row],[CUSTOMER NAME]],Country[],3,0)</f>
        <v>Western</v>
      </c>
      <c r="I497" s="1" t="str">
        <f>TEXT(InputData[[#This Row],[DATE]],"mmmm")</f>
        <v>July</v>
      </c>
      <c r="J497" s="1" t="str">
        <f>TEXT(InputData[[#This Row],[DATE]],"ddd")</f>
        <v>Sun</v>
      </c>
      <c r="K497" s="14">
        <f>WEEKNUM(InputData[[#This Row],[DATE]])</f>
        <v>31</v>
      </c>
      <c r="N497"/>
      <c r="R497" s="3" t="s">
        <v>60</v>
      </c>
      <c r="S497" s="1" t="str">
        <f t="shared" si="14"/>
        <v>Union Cross Supply Co.</v>
      </c>
      <c r="V497"/>
      <c r="Z497" s="11" t="s">
        <v>3</v>
      </c>
      <c r="AA497" s="1" t="str">
        <f t="shared" si="15"/>
        <v>Hex Bolt M12</v>
      </c>
      <c r="AF497"/>
    </row>
    <row r="498" spans="1:32" x14ac:dyDescent="0.3">
      <c r="A498" s="10">
        <v>44402</v>
      </c>
      <c r="B498" s="3" t="s">
        <v>170</v>
      </c>
      <c r="C498" s="11" t="s">
        <v>245</v>
      </c>
      <c r="D498" s="12">
        <v>156.78</v>
      </c>
      <c r="E498" s="1">
        <v>12</v>
      </c>
      <c r="F498" s="13">
        <f>InputData[[#This Row],[QUANTITY]]*InputData[[#This Row],[UNIT PRICE (R)]]</f>
        <v>1881.3600000000001</v>
      </c>
      <c r="G498" s="1" t="str">
        <f>VLOOKUP(InputData[[#This Row],[CUSTOMER NAME]],Country[],2,0)</f>
        <v>France</v>
      </c>
      <c r="H498" s="1" t="str">
        <f>VLOOKUP(InputData[[#This Row],[CUSTOMER NAME]],Country[],3,0)</f>
        <v>Export</v>
      </c>
      <c r="I498" s="1" t="str">
        <f>TEXT(InputData[[#This Row],[DATE]],"mmmm")</f>
        <v>July</v>
      </c>
      <c r="J498" s="1" t="str">
        <f>TEXT(InputData[[#This Row],[DATE]],"ddd")</f>
        <v>Sun</v>
      </c>
      <c r="K498" s="14">
        <f>WEEKNUM(InputData[[#This Row],[DATE]])</f>
        <v>31</v>
      </c>
      <c r="N498"/>
      <c r="R498" s="3" t="s">
        <v>70</v>
      </c>
      <c r="S498" s="1" t="str">
        <f t="shared" si="14"/>
        <v>Larkspur Retailers</v>
      </c>
      <c r="V498"/>
      <c r="Z498" s="11" t="s">
        <v>44</v>
      </c>
      <c r="AA498" s="1" t="str">
        <f t="shared" si="15"/>
        <v>Brass Elbow Joint 20mm</v>
      </c>
      <c r="AF498"/>
    </row>
    <row r="499" spans="1:32" x14ac:dyDescent="0.3">
      <c r="A499" s="10">
        <v>44403</v>
      </c>
      <c r="B499" s="3" t="s">
        <v>167</v>
      </c>
      <c r="C499" s="11" t="s">
        <v>254</v>
      </c>
      <c r="D499" s="12">
        <v>24.66</v>
      </c>
      <c r="E499" s="1">
        <v>1</v>
      </c>
      <c r="F499" s="13">
        <f>InputData[[#This Row],[QUANTITY]]*InputData[[#This Row],[UNIT PRICE (R)]]</f>
        <v>24.66</v>
      </c>
      <c r="G499" s="1" t="str">
        <f>VLOOKUP(InputData[[#This Row],[CUSTOMER NAME]],Country[],2,0)</f>
        <v>Ethiopia</v>
      </c>
      <c r="H499" s="1" t="str">
        <f>VLOOKUP(InputData[[#This Row],[CUSTOMER NAME]],Country[],3,0)</f>
        <v>Export</v>
      </c>
      <c r="I499" s="1" t="str">
        <f>TEXT(InputData[[#This Row],[DATE]],"mmmm")</f>
        <v>July</v>
      </c>
      <c r="J499" s="1" t="str">
        <f>TEXT(InputData[[#This Row],[DATE]],"ddd")</f>
        <v>Mon</v>
      </c>
      <c r="K499" s="14">
        <f>WEEKNUM(InputData[[#This Row],[DATE]])</f>
        <v>31</v>
      </c>
      <c r="N499"/>
      <c r="R499" s="3" t="s">
        <v>75</v>
      </c>
      <c r="S499" s="1" t="str">
        <f t="shared" si="14"/>
        <v>Cranfield &amp; Co.</v>
      </c>
      <c r="V499"/>
      <c r="Z499" s="11" t="s">
        <v>17</v>
      </c>
      <c r="AA499" s="1" t="str">
        <f t="shared" si="15"/>
        <v>Cotter Pin 3mm</v>
      </c>
      <c r="AF499"/>
    </row>
    <row r="500" spans="1:32" x14ac:dyDescent="0.3">
      <c r="A500" s="10">
        <v>44403</v>
      </c>
      <c r="B500" s="3" t="s">
        <v>181</v>
      </c>
      <c r="C500" s="11" t="s">
        <v>231</v>
      </c>
      <c r="D500" s="12">
        <v>80.94</v>
      </c>
      <c r="E500" s="1">
        <v>10</v>
      </c>
      <c r="F500" s="13">
        <f>InputData[[#This Row],[QUANTITY]]*InputData[[#This Row],[UNIT PRICE (R)]]</f>
        <v>809.4</v>
      </c>
      <c r="G500" s="1" t="str">
        <f>VLOOKUP(InputData[[#This Row],[CUSTOMER NAME]],Country[],2,0)</f>
        <v>Germany</v>
      </c>
      <c r="H500" s="1" t="str">
        <f>VLOOKUP(InputData[[#This Row],[CUSTOMER NAME]],Country[],3,0)</f>
        <v>Export</v>
      </c>
      <c r="I500" s="1" t="str">
        <f>TEXT(InputData[[#This Row],[DATE]],"mmmm")</f>
        <v>July</v>
      </c>
      <c r="J500" s="1" t="str">
        <f>TEXT(InputData[[#This Row],[DATE]],"ddd")</f>
        <v>Mon</v>
      </c>
      <c r="K500" s="14">
        <f>WEEKNUM(InputData[[#This Row],[DATE]])</f>
        <v>31</v>
      </c>
      <c r="N500"/>
      <c r="R500" s="3" t="s">
        <v>72</v>
      </c>
      <c r="S500" s="1" t="str">
        <f t="shared" si="14"/>
        <v>Hendricks Mercantile</v>
      </c>
      <c r="V500"/>
      <c r="Z500" s="11" t="s">
        <v>26</v>
      </c>
      <c r="AA500" s="1" t="str">
        <f t="shared" si="15"/>
        <v>Chain Link 6mm</v>
      </c>
      <c r="AF500"/>
    </row>
    <row r="501" spans="1:32" x14ac:dyDescent="0.3">
      <c r="A501" s="10">
        <v>44404</v>
      </c>
      <c r="B501" s="3" t="s">
        <v>153</v>
      </c>
      <c r="C501" s="11" t="s">
        <v>262</v>
      </c>
      <c r="D501" s="12">
        <v>58.3</v>
      </c>
      <c r="E501" s="1">
        <v>25</v>
      </c>
      <c r="F501" s="13">
        <f>InputData[[#This Row],[QUANTITY]]*InputData[[#This Row],[UNIT PRICE (R)]]</f>
        <v>1457.5</v>
      </c>
      <c r="G501" s="1" t="str">
        <f>VLOOKUP(InputData[[#This Row],[CUSTOMER NAME]],Country[],2,0)</f>
        <v>Mexico</v>
      </c>
      <c r="H501" s="1" t="str">
        <f>VLOOKUP(InputData[[#This Row],[CUSTOMER NAME]],Country[],3,0)</f>
        <v>Export</v>
      </c>
      <c r="I501" s="1" t="str">
        <f>TEXT(InputData[[#This Row],[DATE]],"mmmm")</f>
        <v>July</v>
      </c>
      <c r="J501" s="1" t="str">
        <f>TEXT(InputData[[#This Row],[DATE]],"ddd")</f>
        <v>Tue</v>
      </c>
      <c r="K501" s="14">
        <f>WEEKNUM(InputData[[#This Row],[DATE]])</f>
        <v>31</v>
      </c>
      <c r="N501"/>
      <c r="R501" s="3" t="s">
        <v>103</v>
      </c>
      <c r="S501" s="1" t="str">
        <f t="shared" si="14"/>
        <v>Vesterly Traders</v>
      </c>
      <c r="V501"/>
      <c r="Z501" s="11" t="s">
        <v>3</v>
      </c>
      <c r="AA501" s="1" t="str">
        <f t="shared" si="15"/>
        <v>Hex Bolt M12</v>
      </c>
      <c r="AF501"/>
    </row>
    <row r="502" spans="1:32" x14ac:dyDescent="0.3">
      <c r="A502" s="10">
        <v>44404</v>
      </c>
      <c r="B502" s="3" t="s">
        <v>164</v>
      </c>
      <c r="C502" s="11" t="s">
        <v>264</v>
      </c>
      <c r="D502" s="12">
        <v>96.3</v>
      </c>
      <c r="E502" s="1">
        <v>38</v>
      </c>
      <c r="F502" s="13">
        <f>InputData[[#This Row],[QUANTITY]]*InputData[[#This Row],[UNIT PRICE (R)]]</f>
        <v>3659.4</v>
      </c>
      <c r="G502" s="1" t="str">
        <f>VLOOKUP(InputData[[#This Row],[CUSTOMER NAME]],Country[],2,0)</f>
        <v>India</v>
      </c>
      <c r="H502" s="1" t="str">
        <f>VLOOKUP(InputData[[#This Row],[CUSTOMER NAME]],Country[],3,0)</f>
        <v>East</v>
      </c>
      <c r="I502" s="1" t="str">
        <f>TEXT(InputData[[#This Row],[DATE]],"mmmm")</f>
        <v>July</v>
      </c>
      <c r="J502" s="1" t="str">
        <f>TEXT(InputData[[#This Row],[DATE]],"ddd")</f>
        <v>Tue</v>
      </c>
      <c r="K502" s="14">
        <f>WEEKNUM(InputData[[#This Row],[DATE]])</f>
        <v>31</v>
      </c>
      <c r="N502"/>
      <c r="R502" s="3" t="s">
        <v>58</v>
      </c>
      <c r="S502" s="1" t="str">
        <f t="shared" si="14"/>
        <v>Redwood Mercantile</v>
      </c>
      <c r="V502"/>
      <c r="Z502" s="11" t="s">
        <v>34</v>
      </c>
      <c r="AA502" s="1" t="str">
        <f t="shared" si="15"/>
        <v>L-Bracket 75mm</v>
      </c>
      <c r="AF502"/>
    </row>
    <row r="503" spans="1:32" x14ac:dyDescent="0.3">
      <c r="A503" s="10">
        <v>44406</v>
      </c>
      <c r="B503" s="3" t="s">
        <v>143</v>
      </c>
      <c r="C503" s="11" t="s">
        <v>258</v>
      </c>
      <c r="D503" s="12">
        <v>201.28</v>
      </c>
      <c r="E503" s="1">
        <v>37</v>
      </c>
      <c r="F503" s="13">
        <f>InputData[[#This Row],[QUANTITY]]*InputData[[#This Row],[UNIT PRICE (R)]]</f>
        <v>7447.36</v>
      </c>
      <c r="G503" s="1" t="str">
        <f>VLOOKUP(InputData[[#This Row],[CUSTOMER NAME]],Country[],2,0)</f>
        <v>Nigeria</v>
      </c>
      <c r="H503" s="1" t="str">
        <f>VLOOKUP(InputData[[#This Row],[CUSTOMER NAME]],Country[],3,0)</f>
        <v>Export</v>
      </c>
      <c r="I503" s="1" t="str">
        <f>TEXT(InputData[[#This Row],[DATE]],"mmmm")</f>
        <v>July</v>
      </c>
      <c r="J503" s="1" t="str">
        <f>TEXT(InputData[[#This Row],[DATE]],"ddd")</f>
        <v>Thu</v>
      </c>
      <c r="K503" s="14">
        <f>WEEKNUM(InputData[[#This Row],[DATE]])</f>
        <v>31</v>
      </c>
      <c r="N503"/>
      <c r="R503" s="3" t="s">
        <v>69</v>
      </c>
      <c r="S503" s="1" t="str">
        <f t="shared" si="14"/>
        <v>Southcote Industries</v>
      </c>
      <c r="V503"/>
      <c r="Z503" s="11" t="s">
        <v>36</v>
      </c>
      <c r="AA503" s="1" t="str">
        <f t="shared" si="15"/>
        <v>Mending Plate 100mm</v>
      </c>
      <c r="AF503"/>
    </row>
    <row r="504" spans="1:32" x14ac:dyDescent="0.3">
      <c r="A504" s="10">
        <v>44406</v>
      </c>
      <c r="B504" s="3" t="s">
        <v>156</v>
      </c>
      <c r="C504" s="11" t="s">
        <v>272</v>
      </c>
      <c r="D504" s="12">
        <v>82.08</v>
      </c>
      <c r="E504" s="1">
        <v>15</v>
      </c>
      <c r="F504" s="13">
        <f>InputData[[#This Row],[QUANTITY]]*InputData[[#This Row],[UNIT PRICE (R)]]</f>
        <v>1231.2</v>
      </c>
      <c r="G504" s="1" t="str">
        <f>VLOOKUP(InputData[[#This Row],[CUSTOMER NAME]],Country[],2,0)</f>
        <v>India</v>
      </c>
      <c r="H504" s="1" t="str">
        <f>VLOOKUP(InputData[[#This Row],[CUSTOMER NAME]],Country[],3,0)</f>
        <v>East</v>
      </c>
      <c r="I504" s="1" t="str">
        <f>TEXT(InputData[[#This Row],[DATE]],"mmmm")</f>
        <v>July</v>
      </c>
      <c r="J504" s="1" t="str">
        <f>TEXT(InputData[[#This Row],[DATE]],"ddd")</f>
        <v>Thu</v>
      </c>
      <c r="K504" s="14">
        <f>WEEKNUM(InputData[[#This Row],[DATE]])</f>
        <v>31</v>
      </c>
      <c r="N504"/>
      <c r="R504" s="3" t="s">
        <v>48</v>
      </c>
      <c r="S504" s="1" t="str">
        <f t="shared" si="14"/>
        <v>Thornwell Trading</v>
      </c>
      <c r="V504"/>
      <c r="Z504" s="11" t="s">
        <v>30</v>
      </c>
      <c r="AA504" s="1" t="str">
        <f t="shared" si="15"/>
        <v>Door Latch Set</v>
      </c>
      <c r="AF504"/>
    </row>
    <row r="505" spans="1:32" x14ac:dyDescent="0.3">
      <c r="A505" s="10">
        <v>44407</v>
      </c>
      <c r="B505" s="3" t="s">
        <v>154</v>
      </c>
      <c r="C505" s="11" t="s">
        <v>234</v>
      </c>
      <c r="D505" s="12">
        <v>85.5</v>
      </c>
      <c r="E505" s="1">
        <v>25</v>
      </c>
      <c r="F505" s="13">
        <f>InputData[[#This Row],[QUANTITY]]*InputData[[#This Row],[UNIT PRICE (R)]]</f>
        <v>2137.5</v>
      </c>
      <c r="G505" s="1" t="str">
        <f>VLOOKUP(InputData[[#This Row],[CUSTOMER NAME]],Country[],2,0)</f>
        <v>India</v>
      </c>
      <c r="H505" s="1" t="str">
        <f>VLOOKUP(InputData[[#This Row],[CUSTOMER NAME]],Country[],3,0)</f>
        <v>Central</v>
      </c>
      <c r="I505" s="1" t="str">
        <f>TEXT(InputData[[#This Row],[DATE]],"mmmm")</f>
        <v>July</v>
      </c>
      <c r="J505" s="1" t="str">
        <f>TEXT(InputData[[#This Row],[DATE]],"ddd")</f>
        <v>Fri</v>
      </c>
      <c r="K505" s="14">
        <f>WEEKNUM(InputData[[#This Row],[DATE]])</f>
        <v>31</v>
      </c>
      <c r="N505"/>
      <c r="R505" s="3" t="s">
        <v>61</v>
      </c>
      <c r="S505" s="1" t="str">
        <f t="shared" si="14"/>
        <v>Fairstone Retail Group</v>
      </c>
      <c r="V505"/>
      <c r="Z505" s="11" t="s">
        <v>44</v>
      </c>
      <c r="AA505" s="1" t="str">
        <f t="shared" si="15"/>
        <v>Brass Elbow Joint 20mm</v>
      </c>
      <c r="AF505"/>
    </row>
    <row r="506" spans="1:32" x14ac:dyDescent="0.3">
      <c r="A506" s="10">
        <v>44407</v>
      </c>
      <c r="B506" s="3" t="s">
        <v>170</v>
      </c>
      <c r="C506" s="11" t="s">
        <v>264</v>
      </c>
      <c r="D506" s="12">
        <v>96.3</v>
      </c>
      <c r="E506" s="1">
        <v>12</v>
      </c>
      <c r="F506" s="13">
        <f>InputData[[#This Row],[QUANTITY]]*InputData[[#This Row],[UNIT PRICE (R)]]</f>
        <v>1155.5999999999999</v>
      </c>
      <c r="G506" s="1" t="str">
        <f>VLOOKUP(InputData[[#This Row],[CUSTOMER NAME]],Country[],2,0)</f>
        <v>France</v>
      </c>
      <c r="H506" s="1" t="str">
        <f>VLOOKUP(InputData[[#This Row],[CUSTOMER NAME]],Country[],3,0)</f>
        <v>Export</v>
      </c>
      <c r="I506" s="1" t="str">
        <f>TEXT(InputData[[#This Row],[DATE]],"mmmm")</f>
        <v>July</v>
      </c>
      <c r="J506" s="1" t="str">
        <f>TEXT(InputData[[#This Row],[DATE]],"ddd")</f>
        <v>Fri</v>
      </c>
      <c r="K506" s="14">
        <f>WEEKNUM(InputData[[#This Row],[DATE]])</f>
        <v>31</v>
      </c>
      <c r="N506"/>
      <c r="R506" s="3" t="s">
        <v>59</v>
      </c>
      <c r="S506" s="1" t="str">
        <f t="shared" si="14"/>
        <v>Bellview Enterprises</v>
      </c>
      <c r="V506"/>
      <c r="Z506" s="11" t="s">
        <v>6</v>
      </c>
      <c r="AA506" s="1" t="str">
        <f t="shared" si="15"/>
        <v>Flange Nut M10</v>
      </c>
      <c r="AF506"/>
    </row>
    <row r="507" spans="1:32" x14ac:dyDescent="0.3">
      <c r="A507" s="10">
        <v>44408</v>
      </c>
      <c r="B507" s="3" t="s">
        <v>152</v>
      </c>
      <c r="C507" s="11" t="s">
        <v>240</v>
      </c>
      <c r="D507" s="12">
        <v>94.17</v>
      </c>
      <c r="E507" s="1">
        <v>12</v>
      </c>
      <c r="F507" s="13">
        <f>InputData[[#This Row],[QUANTITY]]*InputData[[#This Row],[UNIT PRICE (R)]]</f>
        <v>1130.04</v>
      </c>
      <c r="G507" s="1" t="str">
        <f>VLOOKUP(InputData[[#This Row],[CUSTOMER NAME]],Country[],2,0)</f>
        <v>India</v>
      </c>
      <c r="H507" s="1" t="str">
        <f>VLOOKUP(InputData[[#This Row],[CUSTOMER NAME]],Country[],3,0)</f>
        <v>South</v>
      </c>
      <c r="I507" s="1" t="str">
        <f>TEXT(InputData[[#This Row],[DATE]],"mmmm")</f>
        <v>July</v>
      </c>
      <c r="J507" s="1" t="str">
        <f>TEXT(InputData[[#This Row],[DATE]],"ddd")</f>
        <v>Sat</v>
      </c>
      <c r="K507" s="14">
        <f>WEEKNUM(InputData[[#This Row],[DATE]])</f>
        <v>31</v>
      </c>
      <c r="N507"/>
      <c r="R507" s="3" t="s">
        <v>75</v>
      </c>
      <c r="S507" s="1" t="str">
        <f t="shared" si="14"/>
        <v>Cranfield &amp; Co.</v>
      </c>
      <c r="V507"/>
      <c r="Z507" s="11" t="s">
        <v>36</v>
      </c>
      <c r="AA507" s="1" t="str">
        <f t="shared" si="15"/>
        <v>Mending Plate 100mm</v>
      </c>
      <c r="AF507"/>
    </row>
    <row r="508" spans="1:32" x14ac:dyDescent="0.3">
      <c r="A508" s="10">
        <v>44408</v>
      </c>
      <c r="B508" s="3" t="s">
        <v>166</v>
      </c>
      <c r="C508" s="11" t="s">
        <v>270</v>
      </c>
      <c r="D508" s="12">
        <v>162</v>
      </c>
      <c r="E508" s="1">
        <v>31</v>
      </c>
      <c r="F508" s="13">
        <f>InputData[[#This Row],[QUANTITY]]*InputData[[#This Row],[UNIT PRICE (R)]]</f>
        <v>5022</v>
      </c>
      <c r="G508" s="1" t="str">
        <f>VLOOKUP(InputData[[#This Row],[CUSTOMER NAME]],Country[],2,0)</f>
        <v>India</v>
      </c>
      <c r="H508" s="1" t="str">
        <f>VLOOKUP(InputData[[#This Row],[CUSTOMER NAME]],Country[],3,0)</f>
        <v>North</v>
      </c>
      <c r="I508" s="1" t="str">
        <f>TEXT(InputData[[#This Row],[DATE]],"mmmm")</f>
        <v>July</v>
      </c>
      <c r="J508" s="1" t="str">
        <f>TEXT(InputData[[#This Row],[DATE]],"ddd")</f>
        <v>Sat</v>
      </c>
      <c r="K508" s="14">
        <f>WEEKNUM(InputData[[#This Row],[DATE]])</f>
        <v>31</v>
      </c>
      <c r="N508"/>
      <c r="R508" s="3" t="s">
        <v>57</v>
      </c>
      <c r="S508" s="1" t="str">
        <f t="shared" si="14"/>
        <v>Ashcombe Traders</v>
      </c>
      <c r="V508"/>
      <c r="Z508" s="11" t="s">
        <v>12</v>
      </c>
      <c r="AA508" s="1" t="str">
        <f t="shared" si="15"/>
        <v>Drywall Screw 30mm</v>
      </c>
      <c r="AF508"/>
    </row>
    <row r="509" spans="1:32" x14ac:dyDescent="0.3">
      <c r="A509" s="10">
        <v>44409</v>
      </c>
      <c r="B509" s="3" t="s">
        <v>171</v>
      </c>
      <c r="C509" s="11" t="s">
        <v>229</v>
      </c>
      <c r="D509" s="12">
        <v>103.88</v>
      </c>
      <c r="E509" s="1">
        <v>11</v>
      </c>
      <c r="F509" s="13">
        <f>InputData[[#This Row],[QUANTITY]]*InputData[[#This Row],[UNIT PRICE (R)]]</f>
        <v>1142.6799999999998</v>
      </c>
      <c r="G509" s="1" t="str">
        <f>VLOOKUP(InputData[[#This Row],[CUSTOMER NAME]],Country[],2,0)</f>
        <v>India</v>
      </c>
      <c r="H509" s="1" t="str">
        <f>VLOOKUP(InputData[[#This Row],[CUSTOMER NAME]],Country[],3,0)</f>
        <v>South</v>
      </c>
      <c r="I509" s="1" t="str">
        <f>TEXT(InputData[[#This Row],[DATE]],"mmmm")</f>
        <v>August</v>
      </c>
      <c r="J509" s="1" t="str">
        <f>TEXT(InputData[[#This Row],[DATE]],"ddd")</f>
        <v>Sun</v>
      </c>
      <c r="K509" s="14">
        <f>WEEKNUM(InputData[[#This Row],[DATE]])</f>
        <v>32</v>
      </c>
      <c r="N509"/>
      <c r="R509" s="3" t="s">
        <v>71</v>
      </c>
      <c r="S509" s="1" t="str">
        <f t="shared" si="14"/>
        <v>Blackfriars Supply</v>
      </c>
      <c r="V509"/>
      <c r="Z509" s="11" t="s">
        <v>42</v>
      </c>
      <c r="AA509" s="1" t="str">
        <f t="shared" si="15"/>
        <v>PVC Coupling 25mm</v>
      </c>
      <c r="AF509"/>
    </row>
    <row r="510" spans="1:32" x14ac:dyDescent="0.3">
      <c r="A510" s="10">
        <v>44410</v>
      </c>
      <c r="B510" s="3" t="s">
        <v>158</v>
      </c>
      <c r="C510" s="11" t="s">
        <v>251</v>
      </c>
      <c r="D510" s="12">
        <v>149.46</v>
      </c>
      <c r="E510" s="1">
        <v>3</v>
      </c>
      <c r="F510" s="13">
        <f>InputData[[#This Row],[QUANTITY]]*InputData[[#This Row],[UNIT PRICE (R)]]</f>
        <v>448.38</v>
      </c>
      <c r="G510" s="1" t="str">
        <f>VLOOKUP(InputData[[#This Row],[CUSTOMER NAME]],Country[],2,0)</f>
        <v>Russia</v>
      </c>
      <c r="H510" s="1" t="str">
        <f>VLOOKUP(InputData[[#This Row],[CUSTOMER NAME]],Country[],3,0)</f>
        <v>Export</v>
      </c>
      <c r="I510" s="1" t="str">
        <f>TEXT(InputData[[#This Row],[DATE]],"mmmm")</f>
        <v>August</v>
      </c>
      <c r="J510" s="1" t="str">
        <f>TEXT(InputData[[#This Row],[DATE]],"ddd")</f>
        <v>Mon</v>
      </c>
      <c r="K510" s="14">
        <f>WEEKNUM(InputData[[#This Row],[DATE]])</f>
        <v>32</v>
      </c>
      <c r="N510"/>
      <c r="R510" s="3" t="s">
        <v>76</v>
      </c>
      <c r="S510" s="1" t="str">
        <f t="shared" si="14"/>
        <v>Overton Retail Solutions</v>
      </c>
      <c r="V510"/>
      <c r="Z510" s="11" t="s">
        <v>1</v>
      </c>
      <c r="AA510" s="1" t="str">
        <f t="shared" si="15"/>
        <v>Hex Bolt M8</v>
      </c>
      <c r="AF510"/>
    </row>
    <row r="511" spans="1:32" x14ac:dyDescent="0.3">
      <c r="A511" s="10">
        <v>44411</v>
      </c>
      <c r="B511" s="3" t="s">
        <v>150</v>
      </c>
      <c r="C511" s="11" t="s">
        <v>262</v>
      </c>
      <c r="D511" s="12">
        <v>58.3</v>
      </c>
      <c r="E511" s="1">
        <v>12</v>
      </c>
      <c r="F511" s="13">
        <f>InputData[[#This Row],[QUANTITY]]*InputData[[#This Row],[UNIT PRICE (R)]]</f>
        <v>699.59999999999991</v>
      </c>
      <c r="G511" s="1" t="str">
        <f>VLOOKUP(InputData[[#This Row],[CUSTOMER NAME]],Country[],2,0)</f>
        <v>United Kingdom</v>
      </c>
      <c r="H511" s="1" t="str">
        <f>VLOOKUP(InputData[[#This Row],[CUSTOMER NAME]],Country[],3,0)</f>
        <v>Export</v>
      </c>
      <c r="I511" s="1" t="str">
        <f>TEXT(InputData[[#This Row],[DATE]],"mmmm")</f>
        <v>August</v>
      </c>
      <c r="J511" s="1" t="str">
        <f>TEXT(InputData[[#This Row],[DATE]],"ddd")</f>
        <v>Tue</v>
      </c>
      <c r="K511" s="14">
        <f>WEEKNUM(InputData[[#This Row],[DATE]])</f>
        <v>32</v>
      </c>
      <c r="N511"/>
      <c r="R511" s="3" t="s">
        <v>63</v>
      </c>
      <c r="S511" s="1" t="str">
        <f t="shared" si="14"/>
        <v>Ovenden &amp; Sons</v>
      </c>
      <c r="V511"/>
      <c r="Z511" s="11" t="s">
        <v>23</v>
      </c>
      <c r="AA511" s="1" t="str">
        <f t="shared" si="15"/>
        <v>U-Bolt M8</v>
      </c>
      <c r="AF511"/>
    </row>
    <row r="512" spans="1:32" x14ac:dyDescent="0.3">
      <c r="A512" s="10">
        <v>44411</v>
      </c>
      <c r="B512" s="3" t="s">
        <v>163</v>
      </c>
      <c r="C512" s="11" t="s">
        <v>250</v>
      </c>
      <c r="D512" s="12">
        <v>141.57</v>
      </c>
      <c r="E512" s="1">
        <v>13</v>
      </c>
      <c r="F512" s="13">
        <f>InputData[[#This Row],[QUANTITY]]*InputData[[#This Row],[UNIT PRICE (R)]]</f>
        <v>1840.4099999999999</v>
      </c>
      <c r="G512" s="1" t="str">
        <f>VLOOKUP(InputData[[#This Row],[CUSTOMER NAME]],Country[],2,0)</f>
        <v>South Africa</v>
      </c>
      <c r="H512" s="1" t="str">
        <f>VLOOKUP(InputData[[#This Row],[CUSTOMER NAME]],Country[],3,0)</f>
        <v>Export</v>
      </c>
      <c r="I512" s="1" t="str">
        <f>TEXT(InputData[[#This Row],[DATE]],"mmmm")</f>
        <v>August</v>
      </c>
      <c r="J512" s="1" t="str">
        <f>TEXT(InputData[[#This Row],[DATE]],"ddd")</f>
        <v>Tue</v>
      </c>
      <c r="K512" s="14">
        <f>WEEKNUM(InputData[[#This Row],[DATE]])</f>
        <v>32</v>
      </c>
      <c r="N512"/>
      <c r="R512" s="3" t="s">
        <v>55</v>
      </c>
      <c r="S512" s="1" t="str">
        <f t="shared" si="14"/>
        <v>Silverline Wholesalers</v>
      </c>
      <c r="V512"/>
      <c r="Z512" s="11" t="s">
        <v>34</v>
      </c>
      <c r="AA512" s="1" t="str">
        <f t="shared" si="15"/>
        <v>L-Bracket 75mm</v>
      </c>
      <c r="AF512"/>
    </row>
    <row r="513" spans="1:32" x14ac:dyDescent="0.3">
      <c r="A513" s="10">
        <v>44411</v>
      </c>
      <c r="B513" s="3" t="s">
        <v>163</v>
      </c>
      <c r="C513" s="11" t="s">
        <v>240</v>
      </c>
      <c r="D513" s="12">
        <v>94.17</v>
      </c>
      <c r="E513" s="1">
        <v>5</v>
      </c>
      <c r="F513" s="13">
        <f>InputData[[#This Row],[QUANTITY]]*InputData[[#This Row],[UNIT PRICE (R)]]</f>
        <v>470.85</v>
      </c>
      <c r="G513" s="1" t="str">
        <f>VLOOKUP(InputData[[#This Row],[CUSTOMER NAME]],Country[],2,0)</f>
        <v>South Africa</v>
      </c>
      <c r="H513" s="1" t="str">
        <f>VLOOKUP(InputData[[#This Row],[CUSTOMER NAME]],Country[],3,0)</f>
        <v>Export</v>
      </c>
      <c r="I513" s="1" t="str">
        <f>TEXT(InputData[[#This Row],[DATE]],"mmmm")</f>
        <v>August</v>
      </c>
      <c r="J513" s="1" t="str">
        <f>TEXT(InputData[[#This Row],[DATE]],"ddd")</f>
        <v>Tue</v>
      </c>
      <c r="K513" s="14">
        <f>WEEKNUM(InputData[[#This Row],[DATE]])</f>
        <v>32</v>
      </c>
      <c r="N513"/>
      <c r="R513" s="3" t="s">
        <v>68</v>
      </c>
      <c r="S513" s="1" t="str">
        <f t="shared" si="14"/>
        <v>Delacroix Wholesale</v>
      </c>
      <c r="V513"/>
      <c r="Z513" s="11" t="s">
        <v>22</v>
      </c>
      <c r="AA513" s="1" t="str">
        <f t="shared" si="15"/>
        <v>Hose Clamp 32mm</v>
      </c>
      <c r="AF513"/>
    </row>
    <row r="514" spans="1:32" x14ac:dyDescent="0.3">
      <c r="A514" s="10">
        <v>44411</v>
      </c>
      <c r="B514" s="3" t="s">
        <v>181</v>
      </c>
      <c r="C514" s="11" t="s">
        <v>242</v>
      </c>
      <c r="D514" s="12">
        <v>146.72</v>
      </c>
      <c r="E514" s="1">
        <v>8</v>
      </c>
      <c r="F514" s="13">
        <f>InputData[[#This Row],[QUANTITY]]*InputData[[#This Row],[UNIT PRICE (R)]]</f>
        <v>1173.76</v>
      </c>
      <c r="G514" s="1" t="str">
        <f>VLOOKUP(InputData[[#This Row],[CUSTOMER NAME]],Country[],2,0)</f>
        <v>Germany</v>
      </c>
      <c r="H514" s="1" t="str">
        <f>VLOOKUP(InputData[[#This Row],[CUSTOMER NAME]],Country[],3,0)</f>
        <v>Export</v>
      </c>
      <c r="I514" s="1" t="str">
        <f>TEXT(InputData[[#This Row],[DATE]],"mmmm")</f>
        <v>August</v>
      </c>
      <c r="J514" s="1" t="str">
        <f>TEXT(InputData[[#This Row],[DATE]],"ddd")</f>
        <v>Tue</v>
      </c>
      <c r="K514" s="14">
        <f>WEEKNUM(InputData[[#This Row],[DATE]])</f>
        <v>32</v>
      </c>
      <c r="N514"/>
      <c r="R514" s="3" t="s">
        <v>68</v>
      </c>
      <c r="S514" s="1" t="str">
        <f t="shared" si="14"/>
        <v>Delacroix Wholesale</v>
      </c>
      <c r="V514"/>
      <c r="Z514" s="11" t="s">
        <v>12</v>
      </c>
      <c r="AA514" s="1" t="str">
        <f t="shared" si="15"/>
        <v>Drywall Screw 30mm</v>
      </c>
      <c r="AF514"/>
    </row>
    <row r="515" spans="1:32" x14ac:dyDescent="0.3">
      <c r="A515" s="10">
        <v>44412</v>
      </c>
      <c r="B515" s="3" t="s">
        <v>144</v>
      </c>
      <c r="C515" s="11" t="s">
        <v>254</v>
      </c>
      <c r="D515" s="12">
        <v>24.66</v>
      </c>
      <c r="E515" s="1">
        <v>16</v>
      </c>
      <c r="F515" s="13">
        <f>InputData[[#This Row],[QUANTITY]]*InputData[[#This Row],[UNIT PRICE (R)]]</f>
        <v>394.56</v>
      </c>
      <c r="G515" s="1" t="str">
        <f>VLOOKUP(InputData[[#This Row],[CUSTOMER NAME]],Country[],2,0)</f>
        <v>Bangladesh</v>
      </c>
      <c r="H515" s="1" t="str">
        <f>VLOOKUP(InputData[[#This Row],[CUSTOMER NAME]],Country[],3,0)</f>
        <v>Export</v>
      </c>
      <c r="I515" s="1" t="str">
        <f>TEXT(InputData[[#This Row],[DATE]],"mmmm")</f>
        <v>August</v>
      </c>
      <c r="J515" s="1" t="str">
        <f>TEXT(InputData[[#This Row],[DATE]],"ddd")</f>
        <v>Wed</v>
      </c>
      <c r="K515" s="14">
        <f>WEEKNUM(InputData[[#This Row],[DATE]])</f>
        <v>32</v>
      </c>
      <c r="N515"/>
      <c r="R515" s="3" t="s">
        <v>103</v>
      </c>
      <c r="S515" s="1" t="str">
        <f t="shared" si="14"/>
        <v>Vesterly Traders</v>
      </c>
      <c r="V515"/>
      <c r="Z515" s="11" t="s">
        <v>14</v>
      </c>
      <c r="AA515" s="1" t="str">
        <f t="shared" si="15"/>
        <v>Cap Screw M6</v>
      </c>
      <c r="AF515"/>
    </row>
    <row r="516" spans="1:32" x14ac:dyDescent="0.3">
      <c r="A516" s="10">
        <v>44413</v>
      </c>
      <c r="B516" s="3" t="s">
        <v>153</v>
      </c>
      <c r="C516" s="11" t="s">
        <v>256</v>
      </c>
      <c r="D516" s="12">
        <v>41.81</v>
      </c>
      <c r="E516" s="1">
        <v>14</v>
      </c>
      <c r="F516" s="13">
        <f>InputData[[#This Row],[QUANTITY]]*InputData[[#This Row],[UNIT PRICE (R)]]</f>
        <v>585.34</v>
      </c>
      <c r="G516" s="1" t="str">
        <f>VLOOKUP(InputData[[#This Row],[CUSTOMER NAME]],Country[],2,0)</f>
        <v>Mexico</v>
      </c>
      <c r="H516" s="1" t="str">
        <f>VLOOKUP(InputData[[#This Row],[CUSTOMER NAME]],Country[],3,0)</f>
        <v>Export</v>
      </c>
      <c r="I516" s="1" t="str">
        <f>TEXT(InputData[[#This Row],[DATE]],"mmmm")</f>
        <v>August</v>
      </c>
      <c r="J516" s="1" t="str">
        <f>TEXT(InputData[[#This Row],[DATE]],"ddd")</f>
        <v>Thu</v>
      </c>
      <c r="K516" s="14">
        <f>WEEKNUM(InputData[[#This Row],[DATE]])</f>
        <v>32</v>
      </c>
      <c r="N516"/>
      <c r="R516" s="3" t="s">
        <v>49</v>
      </c>
      <c r="S516" s="1" t="str">
        <f t="shared" si="14"/>
        <v>Baxter &amp; Kline Supplies</v>
      </c>
      <c r="V516"/>
      <c r="Z516" s="11" t="s">
        <v>26</v>
      </c>
      <c r="AA516" s="1" t="str">
        <f t="shared" si="15"/>
        <v>Chain Link 6mm</v>
      </c>
      <c r="AF516"/>
    </row>
    <row r="517" spans="1:32" x14ac:dyDescent="0.3">
      <c r="A517" s="10">
        <v>44414</v>
      </c>
      <c r="B517" s="3" t="s">
        <v>147</v>
      </c>
      <c r="C517" s="11" t="s">
        <v>265</v>
      </c>
      <c r="D517" s="12">
        <v>85.76</v>
      </c>
      <c r="E517" s="1">
        <v>1</v>
      </c>
      <c r="F517" s="13">
        <f>InputData[[#This Row],[QUANTITY]]*InputData[[#This Row],[UNIT PRICE (R)]]</f>
        <v>85.76</v>
      </c>
      <c r="G517" s="1" t="str">
        <f>VLOOKUP(InputData[[#This Row],[CUSTOMER NAME]],Country[],2,0)</f>
        <v>India</v>
      </c>
      <c r="H517" s="1" t="str">
        <f>VLOOKUP(InputData[[#This Row],[CUSTOMER NAME]],Country[],3,0)</f>
        <v>Northeast</v>
      </c>
      <c r="I517" s="1" t="str">
        <f>TEXT(InputData[[#This Row],[DATE]],"mmmm")</f>
        <v>August</v>
      </c>
      <c r="J517" s="1" t="str">
        <f>TEXT(InputData[[#This Row],[DATE]],"ddd")</f>
        <v>Fri</v>
      </c>
      <c r="K517" s="14">
        <f>WEEKNUM(InputData[[#This Row],[DATE]])</f>
        <v>32</v>
      </c>
      <c r="N517"/>
      <c r="R517" s="3" t="s">
        <v>58</v>
      </c>
      <c r="S517" s="1" t="str">
        <f t="shared" si="14"/>
        <v>Redwood Mercantile</v>
      </c>
      <c r="V517"/>
      <c r="Z517" s="11" t="s">
        <v>28</v>
      </c>
      <c r="AA517" s="1" t="str">
        <f t="shared" si="15"/>
        <v>Cabinet Hinge 75mm</v>
      </c>
      <c r="AF517"/>
    </row>
    <row r="518" spans="1:32" x14ac:dyDescent="0.3">
      <c r="A518" s="10">
        <v>44414</v>
      </c>
      <c r="B518" s="3" t="s">
        <v>163</v>
      </c>
      <c r="C518" s="11" t="s">
        <v>244</v>
      </c>
      <c r="D518" s="12">
        <v>16.64</v>
      </c>
      <c r="E518" s="1">
        <v>9</v>
      </c>
      <c r="F518" s="13">
        <f>InputData[[#This Row],[QUANTITY]]*InputData[[#This Row],[UNIT PRICE (R)]]</f>
        <v>149.76</v>
      </c>
      <c r="G518" s="1" t="str">
        <f>VLOOKUP(InputData[[#This Row],[CUSTOMER NAME]],Country[],2,0)</f>
        <v>South Africa</v>
      </c>
      <c r="H518" s="1" t="str">
        <f>VLOOKUP(InputData[[#This Row],[CUSTOMER NAME]],Country[],3,0)</f>
        <v>Export</v>
      </c>
      <c r="I518" s="1" t="str">
        <f>TEXT(InputData[[#This Row],[DATE]],"mmmm")</f>
        <v>August</v>
      </c>
      <c r="J518" s="1" t="str">
        <f>TEXT(InputData[[#This Row],[DATE]],"ddd")</f>
        <v>Fri</v>
      </c>
      <c r="K518" s="14">
        <f>WEEKNUM(InputData[[#This Row],[DATE]])</f>
        <v>32</v>
      </c>
      <c r="N518"/>
      <c r="R518" s="3" t="s">
        <v>52</v>
      </c>
      <c r="S518" s="1" t="str">
        <f t="shared" si="14"/>
        <v>Harrow Distribution</v>
      </c>
      <c r="V518"/>
      <c r="Z518" s="11" t="s">
        <v>37</v>
      </c>
      <c r="AA518" s="1" t="str">
        <f t="shared" si="15"/>
        <v>Turnbuckle Hook M6</v>
      </c>
      <c r="AF518"/>
    </row>
    <row r="519" spans="1:32" x14ac:dyDescent="0.3">
      <c r="A519" s="10">
        <v>44416</v>
      </c>
      <c r="B519" s="3" t="s">
        <v>146</v>
      </c>
      <c r="C519" s="11" t="s">
        <v>249</v>
      </c>
      <c r="D519" s="12">
        <v>162.54</v>
      </c>
      <c r="E519" s="1">
        <v>11</v>
      </c>
      <c r="F519" s="13">
        <f>InputData[[#This Row],[QUANTITY]]*InputData[[#This Row],[UNIT PRICE (R)]]</f>
        <v>1787.9399999999998</v>
      </c>
      <c r="G519" s="1" t="str">
        <f>VLOOKUP(InputData[[#This Row],[CUSTOMER NAME]],Country[],2,0)</f>
        <v>Saudi Arabia</v>
      </c>
      <c r="H519" s="1" t="str">
        <f>VLOOKUP(InputData[[#This Row],[CUSTOMER NAME]],Country[],3,0)</f>
        <v>Export</v>
      </c>
      <c r="I519" s="1" t="str">
        <f>TEXT(InputData[[#This Row],[DATE]],"mmmm")</f>
        <v>August</v>
      </c>
      <c r="J519" s="1" t="str">
        <f>TEXT(InputData[[#This Row],[DATE]],"ddd")</f>
        <v>Sun</v>
      </c>
      <c r="K519" s="14">
        <f>WEEKNUM(InputData[[#This Row],[DATE]])</f>
        <v>33</v>
      </c>
      <c r="N519"/>
      <c r="R519" s="3" t="s">
        <v>68</v>
      </c>
      <c r="S519" s="1" t="str">
        <f t="shared" ref="S519:S582" si="16">_xlfn.XLOOKUP(R519,$N$5:$N$64,$O$5:$O$64,"Not Found")</f>
        <v>Delacroix Wholesale</v>
      </c>
      <c r="V519"/>
      <c r="Z519" s="11" t="s">
        <v>16</v>
      </c>
      <c r="AA519" s="1" t="str">
        <f t="shared" ref="AA519:AA582" si="17">_xlfn.XLOOKUP(Z519,$V$5:$V$48,$W$5:$W$48,"Not Found",0)</f>
        <v>Blind Rivet 6mm</v>
      </c>
      <c r="AF519"/>
    </row>
    <row r="520" spans="1:32" x14ac:dyDescent="0.3">
      <c r="A520" s="10">
        <v>44416</v>
      </c>
      <c r="B520" s="3" t="s">
        <v>154</v>
      </c>
      <c r="C520" s="11" t="s">
        <v>260</v>
      </c>
      <c r="D520" s="12">
        <v>117.48</v>
      </c>
      <c r="E520" s="1">
        <v>12</v>
      </c>
      <c r="F520" s="13">
        <f>InputData[[#This Row],[QUANTITY]]*InputData[[#This Row],[UNIT PRICE (R)]]</f>
        <v>1409.76</v>
      </c>
      <c r="G520" s="1" t="str">
        <f>VLOOKUP(InputData[[#This Row],[CUSTOMER NAME]],Country[],2,0)</f>
        <v>India</v>
      </c>
      <c r="H520" s="1" t="str">
        <f>VLOOKUP(InputData[[#This Row],[CUSTOMER NAME]],Country[],3,0)</f>
        <v>Central</v>
      </c>
      <c r="I520" s="1" t="str">
        <f>TEXT(InputData[[#This Row],[DATE]],"mmmm")</f>
        <v>August</v>
      </c>
      <c r="J520" s="1" t="str">
        <f>TEXT(InputData[[#This Row],[DATE]],"ddd")</f>
        <v>Sun</v>
      </c>
      <c r="K520" s="14">
        <f>WEEKNUM(InputData[[#This Row],[DATE]])</f>
        <v>33</v>
      </c>
      <c r="N520"/>
      <c r="R520" s="3" t="s">
        <v>51</v>
      </c>
      <c r="S520" s="1" t="str">
        <f t="shared" si="16"/>
        <v>Coastal Fittings Ltd</v>
      </c>
      <c r="V520"/>
      <c r="Z520" s="11" t="s">
        <v>21</v>
      </c>
      <c r="AA520" s="1" t="str">
        <f t="shared" si="17"/>
        <v>Pipe Clamp 25mm</v>
      </c>
      <c r="AF520"/>
    </row>
    <row r="521" spans="1:32" x14ac:dyDescent="0.3">
      <c r="A521" s="10">
        <v>44416</v>
      </c>
      <c r="B521" s="3" t="s">
        <v>157</v>
      </c>
      <c r="C521" s="11" t="s">
        <v>243</v>
      </c>
      <c r="D521" s="12">
        <v>15.719999999999999</v>
      </c>
      <c r="E521" s="1">
        <v>38</v>
      </c>
      <c r="F521" s="13">
        <f>InputData[[#This Row],[QUANTITY]]*InputData[[#This Row],[UNIT PRICE (R)]]</f>
        <v>597.3599999999999</v>
      </c>
      <c r="G521" s="1" t="str">
        <f>VLOOKUP(InputData[[#This Row],[CUSTOMER NAME]],Country[],2,0)</f>
        <v>Brazil</v>
      </c>
      <c r="H521" s="1" t="str">
        <f>VLOOKUP(InputData[[#This Row],[CUSTOMER NAME]],Country[],3,0)</f>
        <v>Export</v>
      </c>
      <c r="I521" s="1" t="str">
        <f>TEXT(InputData[[#This Row],[DATE]],"mmmm")</f>
        <v>August</v>
      </c>
      <c r="J521" s="1" t="str">
        <f>TEXT(InputData[[#This Row],[DATE]],"ddd")</f>
        <v>Sun</v>
      </c>
      <c r="K521" s="14">
        <f>WEEKNUM(InputData[[#This Row],[DATE]])</f>
        <v>33</v>
      </c>
      <c r="N521"/>
      <c r="R521" s="3" t="s">
        <v>59</v>
      </c>
      <c r="S521" s="1" t="str">
        <f t="shared" si="16"/>
        <v>Bellview Enterprises</v>
      </c>
      <c r="V521"/>
      <c r="Z521" s="11" t="s">
        <v>32</v>
      </c>
      <c r="AA521" s="1" t="str">
        <f t="shared" si="17"/>
        <v>Corner Bracket 50mm</v>
      </c>
      <c r="AF521"/>
    </row>
    <row r="522" spans="1:32" x14ac:dyDescent="0.3">
      <c r="A522" s="10">
        <v>44416</v>
      </c>
      <c r="B522" s="3" t="s">
        <v>161</v>
      </c>
      <c r="C522" s="11" t="s">
        <v>244</v>
      </c>
      <c r="D522" s="12">
        <v>16.64</v>
      </c>
      <c r="E522" s="1">
        <v>2</v>
      </c>
      <c r="F522" s="13">
        <f>InputData[[#This Row],[QUANTITY]]*InputData[[#This Row],[UNIT PRICE (R)]]</f>
        <v>33.28</v>
      </c>
      <c r="G522" s="1" t="str">
        <f>VLOOKUP(InputData[[#This Row],[CUSTOMER NAME]],Country[],2,0)</f>
        <v>India</v>
      </c>
      <c r="H522" s="1" t="str">
        <f>VLOOKUP(InputData[[#This Row],[CUSTOMER NAME]],Country[],3,0)</f>
        <v>Central</v>
      </c>
      <c r="I522" s="1" t="str">
        <f>TEXT(InputData[[#This Row],[DATE]],"mmmm")</f>
        <v>August</v>
      </c>
      <c r="J522" s="1" t="str">
        <f>TEXT(InputData[[#This Row],[DATE]],"ddd")</f>
        <v>Sun</v>
      </c>
      <c r="K522" s="14">
        <f>WEEKNUM(InputData[[#This Row],[DATE]])</f>
        <v>33</v>
      </c>
      <c r="N522"/>
      <c r="R522" s="3" t="s">
        <v>62</v>
      </c>
      <c r="S522" s="1" t="str">
        <f t="shared" si="16"/>
        <v>Marchbank Traders</v>
      </c>
      <c r="V522"/>
      <c r="Z522" s="11" t="s">
        <v>15</v>
      </c>
      <c r="AA522" s="1" t="str">
        <f t="shared" si="17"/>
        <v>Rivet 4mm</v>
      </c>
      <c r="AF522"/>
    </row>
    <row r="523" spans="1:32" x14ac:dyDescent="0.3">
      <c r="A523" s="10">
        <v>44418</v>
      </c>
      <c r="B523" s="3" t="s">
        <v>174</v>
      </c>
      <c r="C523" s="11" t="s">
        <v>266</v>
      </c>
      <c r="D523" s="12">
        <v>79.92</v>
      </c>
      <c r="E523" s="1">
        <v>38</v>
      </c>
      <c r="F523" s="13">
        <f>InputData[[#This Row],[QUANTITY]]*InputData[[#This Row],[UNIT PRICE (R)]]</f>
        <v>3036.96</v>
      </c>
      <c r="G523" s="1" t="str">
        <f>VLOOKUP(InputData[[#This Row],[CUSTOMER NAME]],Country[],2,0)</f>
        <v>Pakistan</v>
      </c>
      <c r="H523" s="1" t="str">
        <f>VLOOKUP(InputData[[#This Row],[CUSTOMER NAME]],Country[],3,0)</f>
        <v>Export</v>
      </c>
      <c r="I523" s="1" t="str">
        <f>TEXT(InputData[[#This Row],[DATE]],"mmmm")</f>
        <v>August</v>
      </c>
      <c r="J523" s="1" t="str">
        <f>TEXT(InputData[[#This Row],[DATE]],"ddd")</f>
        <v>Tue</v>
      </c>
      <c r="K523" s="14">
        <f>WEEKNUM(InputData[[#This Row],[DATE]])</f>
        <v>33</v>
      </c>
      <c r="N523"/>
      <c r="R523" s="3" t="s">
        <v>66</v>
      </c>
      <c r="S523" s="1" t="str">
        <f t="shared" si="16"/>
        <v>Whitfield Distributors</v>
      </c>
      <c r="V523"/>
      <c r="Z523" s="11" t="s">
        <v>16</v>
      </c>
      <c r="AA523" s="1" t="str">
        <f t="shared" si="17"/>
        <v>Blind Rivet 6mm</v>
      </c>
      <c r="AF523"/>
    </row>
    <row r="524" spans="1:32" x14ac:dyDescent="0.3">
      <c r="A524" s="10">
        <v>44418</v>
      </c>
      <c r="B524" s="3" t="s">
        <v>167</v>
      </c>
      <c r="C524" s="11" t="s">
        <v>233</v>
      </c>
      <c r="D524" s="12">
        <v>155.61000000000001</v>
      </c>
      <c r="E524" s="1">
        <v>4</v>
      </c>
      <c r="F524" s="13">
        <f>InputData[[#This Row],[QUANTITY]]*InputData[[#This Row],[UNIT PRICE (R)]]</f>
        <v>622.44000000000005</v>
      </c>
      <c r="G524" s="1" t="str">
        <f>VLOOKUP(InputData[[#This Row],[CUSTOMER NAME]],Country[],2,0)</f>
        <v>Ethiopia</v>
      </c>
      <c r="H524" s="1" t="str">
        <f>VLOOKUP(InputData[[#This Row],[CUSTOMER NAME]],Country[],3,0)</f>
        <v>Export</v>
      </c>
      <c r="I524" s="1" t="str">
        <f>TEXT(InputData[[#This Row],[DATE]],"mmmm")</f>
        <v>August</v>
      </c>
      <c r="J524" s="1" t="str">
        <f>TEXT(InputData[[#This Row],[DATE]],"ddd")</f>
        <v>Tue</v>
      </c>
      <c r="K524" s="14">
        <f>WEEKNUM(InputData[[#This Row],[DATE]])</f>
        <v>33</v>
      </c>
      <c r="N524"/>
      <c r="R524" s="3" t="s">
        <v>96</v>
      </c>
      <c r="S524" s="1" t="str">
        <f t="shared" si="16"/>
        <v>Draycott Wholesalers</v>
      </c>
      <c r="V524"/>
      <c r="Z524" s="11" t="s">
        <v>38</v>
      </c>
      <c r="AA524" s="1" t="str">
        <f t="shared" si="17"/>
        <v>Cable Tie 300mm</v>
      </c>
      <c r="AF524"/>
    </row>
    <row r="525" spans="1:32" x14ac:dyDescent="0.3">
      <c r="A525" s="10">
        <v>44418</v>
      </c>
      <c r="B525" s="3" t="s">
        <v>171</v>
      </c>
      <c r="C525" s="11" t="s">
        <v>272</v>
      </c>
      <c r="D525" s="12">
        <v>82.08</v>
      </c>
      <c r="E525" s="1">
        <v>10</v>
      </c>
      <c r="F525" s="13">
        <f>InputData[[#This Row],[QUANTITY]]*InputData[[#This Row],[UNIT PRICE (R)]]</f>
        <v>820.8</v>
      </c>
      <c r="G525" s="1" t="str">
        <f>VLOOKUP(InputData[[#This Row],[CUSTOMER NAME]],Country[],2,0)</f>
        <v>India</v>
      </c>
      <c r="H525" s="1" t="str">
        <f>VLOOKUP(InputData[[#This Row],[CUSTOMER NAME]],Country[],3,0)</f>
        <v>South</v>
      </c>
      <c r="I525" s="1" t="str">
        <f>TEXT(InputData[[#This Row],[DATE]],"mmmm")</f>
        <v>August</v>
      </c>
      <c r="J525" s="1" t="str">
        <f>TEXT(InputData[[#This Row],[DATE]],"ddd")</f>
        <v>Tue</v>
      </c>
      <c r="K525" s="14">
        <f>WEEKNUM(InputData[[#This Row],[DATE]])</f>
        <v>33</v>
      </c>
      <c r="N525"/>
      <c r="R525" s="3" t="s">
        <v>72</v>
      </c>
      <c r="S525" s="1" t="str">
        <f t="shared" si="16"/>
        <v>Hendricks Mercantile</v>
      </c>
      <c r="V525"/>
      <c r="Z525" s="11" t="s">
        <v>5</v>
      </c>
      <c r="AA525" s="1" t="str">
        <f t="shared" si="17"/>
        <v>Wing Nut M6</v>
      </c>
      <c r="AF525"/>
    </row>
    <row r="526" spans="1:32" x14ac:dyDescent="0.3">
      <c r="A526" s="10">
        <v>44418</v>
      </c>
      <c r="B526" s="3" t="s">
        <v>172</v>
      </c>
      <c r="C526" s="11" t="s">
        <v>234</v>
      </c>
      <c r="D526" s="12">
        <v>85.5</v>
      </c>
      <c r="E526" s="1">
        <v>6</v>
      </c>
      <c r="F526" s="13">
        <f>InputData[[#This Row],[QUANTITY]]*InputData[[#This Row],[UNIT PRICE (R)]]</f>
        <v>513</v>
      </c>
      <c r="G526" s="1" t="str">
        <f>VLOOKUP(InputData[[#This Row],[CUSTOMER NAME]],Country[],2,0)</f>
        <v>Mexico</v>
      </c>
      <c r="H526" s="1" t="str">
        <f>VLOOKUP(InputData[[#This Row],[CUSTOMER NAME]],Country[],3,0)</f>
        <v>Export</v>
      </c>
      <c r="I526" s="1" t="str">
        <f>TEXT(InputData[[#This Row],[DATE]],"mmmm")</f>
        <v>August</v>
      </c>
      <c r="J526" s="1" t="str">
        <f>TEXT(InputData[[#This Row],[DATE]],"ddd")</f>
        <v>Tue</v>
      </c>
      <c r="K526" s="14">
        <f>WEEKNUM(InputData[[#This Row],[DATE]])</f>
        <v>33</v>
      </c>
      <c r="N526"/>
      <c r="R526" s="3" t="s">
        <v>76</v>
      </c>
      <c r="S526" s="1" t="str">
        <f t="shared" si="16"/>
        <v>Overton Retail Solutions</v>
      </c>
      <c r="V526"/>
      <c r="Z526" s="11" t="s">
        <v>44</v>
      </c>
      <c r="AA526" s="1" t="str">
        <f t="shared" si="17"/>
        <v>Brass Elbow Joint 20mm</v>
      </c>
      <c r="AF526"/>
    </row>
    <row r="527" spans="1:32" x14ac:dyDescent="0.3">
      <c r="A527" s="10">
        <v>44419</v>
      </c>
      <c r="B527" s="3" t="s">
        <v>156</v>
      </c>
      <c r="C527" s="11" t="s">
        <v>251</v>
      </c>
      <c r="D527" s="12">
        <v>149.46</v>
      </c>
      <c r="E527" s="1">
        <v>4</v>
      </c>
      <c r="F527" s="13">
        <f>InputData[[#This Row],[QUANTITY]]*InputData[[#This Row],[UNIT PRICE (R)]]</f>
        <v>597.84</v>
      </c>
      <c r="G527" s="1" t="str">
        <f>VLOOKUP(InputData[[#This Row],[CUSTOMER NAME]],Country[],2,0)</f>
        <v>India</v>
      </c>
      <c r="H527" s="1" t="str">
        <f>VLOOKUP(InputData[[#This Row],[CUSTOMER NAME]],Country[],3,0)</f>
        <v>East</v>
      </c>
      <c r="I527" s="1" t="str">
        <f>TEXT(InputData[[#This Row],[DATE]],"mmmm")</f>
        <v>August</v>
      </c>
      <c r="J527" s="1" t="str">
        <f>TEXT(InputData[[#This Row],[DATE]],"ddd")</f>
        <v>Wed</v>
      </c>
      <c r="K527" s="14">
        <f>WEEKNUM(InputData[[#This Row],[DATE]])</f>
        <v>33</v>
      </c>
      <c r="N527"/>
      <c r="R527" s="3" t="s">
        <v>77</v>
      </c>
      <c r="S527" s="1" t="str">
        <f t="shared" si="16"/>
        <v>Fenwick Traders</v>
      </c>
      <c r="V527"/>
      <c r="Z527" s="11" t="s">
        <v>6</v>
      </c>
      <c r="AA527" s="1" t="str">
        <f t="shared" si="17"/>
        <v>Flange Nut M10</v>
      </c>
      <c r="AF527"/>
    </row>
    <row r="528" spans="1:32" x14ac:dyDescent="0.3">
      <c r="A528" s="10">
        <v>44419</v>
      </c>
      <c r="B528" s="3" t="s">
        <v>159</v>
      </c>
      <c r="C528" s="11" t="s">
        <v>258</v>
      </c>
      <c r="D528" s="12">
        <v>201.28</v>
      </c>
      <c r="E528" s="1">
        <v>20</v>
      </c>
      <c r="F528" s="13">
        <f>InputData[[#This Row],[QUANTITY]]*InputData[[#This Row],[UNIT PRICE (R)]]</f>
        <v>4025.6</v>
      </c>
      <c r="G528" s="1" t="str">
        <f>VLOOKUP(InputData[[#This Row],[CUSTOMER NAME]],Country[],2,0)</f>
        <v>Saudi Arabia</v>
      </c>
      <c r="H528" s="1" t="str">
        <f>VLOOKUP(InputData[[#This Row],[CUSTOMER NAME]],Country[],3,0)</f>
        <v>Export</v>
      </c>
      <c r="I528" s="1" t="str">
        <f>TEXT(InputData[[#This Row],[DATE]],"mmmm")</f>
        <v>August</v>
      </c>
      <c r="J528" s="1" t="str">
        <f>TEXT(InputData[[#This Row],[DATE]],"ddd")</f>
        <v>Wed</v>
      </c>
      <c r="K528" s="14">
        <f>WEEKNUM(InputData[[#This Row],[DATE]])</f>
        <v>33</v>
      </c>
      <c r="N528"/>
      <c r="R528" s="3" t="s">
        <v>61</v>
      </c>
      <c r="S528" s="1" t="str">
        <f t="shared" si="16"/>
        <v>Fairstone Retail Group</v>
      </c>
      <c r="V528"/>
      <c r="Z528" s="11" t="s">
        <v>23</v>
      </c>
      <c r="AA528" s="1" t="str">
        <f t="shared" si="17"/>
        <v>U-Bolt M8</v>
      </c>
      <c r="AF528"/>
    </row>
    <row r="529" spans="1:32" x14ac:dyDescent="0.3">
      <c r="A529" s="10">
        <v>44421</v>
      </c>
      <c r="B529" s="3" t="s">
        <v>156</v>
      </c>
      <c r="C529" s="11" t="s">
        <v>239</v>
      </c>
      <c r="D529" s="12">
        <v>48.4</v>
      </c>
      <c r="E529" s="1">
        <v>13</v>
      </c>
      <c r="F529" s="13">
        <f>InputData[[#This Row],[QUANTITY]]*InputData[[#This Row],[UNIT PRICE (R)]]</f>
        <v>629.19999999999993</v>
      </c>
      <c r="G529" s="1" t="str">
        <f>VLOOKUP(InputData[[#This Row],[CUSTOMER NAME]],Country[],2,0)</f>
        <v>India</v>
      </c>
      <c r="H529" s="1" t="str">
        <f>VLOOKUP(InputData[[#This Row],[CUSTOMER NAME]],Country[],3,0)</f>
        <v>East</v>
      </c>
      <c r="I529" s="1" t="str">
        <f>TEXT(InputData[[#This Row],[DATE]],"mmmm")</f>
        <v>August</v>
      </c>
      <c r="J529" s="1" t="str">
        <f>TEXT(InputData[[#This Row],[DATE]],"ddd")</f>
        <v>Fri</v>
      </c>
      <c r="K529" s="14">
        <f>WEEKNUM(InputData[[#This Row],[DATE]])</f>
        <v>33</v>
      </c>
      <c r="N529"/>
      <c r="R529" s="3" t="s">
        <v>64</v>
      </c>
      <c r="S529" s="1" t="str">
        <f t="shared" si="16"/>
        <v>Ridgeway Commercial</v>
      </c>
      <c r="V529"/>
      <c r="Z529" s="11" t="s">
        <v>30</v>
      </c>
      <c r="AA529" s="1" t="str">
        <f t="shared" si="17"/>
        <v>Door Latch Set</v>
      </c>
      <c r="AF529"/>
    </row>
    <row r="530" spans="1:32" x14ac:dyDescent="0.3">
      <c r="A530" s="10">
        <v>44421</v>
      </c>
      <c r="B530" s="3" t="s">
        <v>168</v>
      </c>
      <c r="C530" s="11" t="s">
        <v>255</v>
      </c>
      <c r="D530" s="12">
        <v>57.120000000000005</v>
      </c>
      <c r="E530" s="1">
        <v>9</v>
      </c>
      <c r="F530" s="13">
        <f>InputData[[#This Row],[QUANTITY]]*InputData[[#This Row],[UNIT PRICE (R)]]</f>
        <v>514.08000000000004</v>
      </c>
      <c r="G530" s="1" t="str">
        <f>VLOOKUP(InputData[[#This Row],[CUSTOMER NAME]],Country[],2,0)</f>
        <v>India</v>
      </c>
      <c r="H530" s="1" t="str">
        <f>VLOOKUP(InputData[[#This Row],[CUSTOMER NAME]],Country[],3,0)</f>
        <v>Northeast</v>
      </c>
      <c r="I530" s="1" t="str">
        <f>TEXT(InputData[[#This Row],[DATE]],"mmmm")</f>
        <v>August</v>
      </c>
      <c r="J530" s="1" t="str">
        <f>TEXT(InputData[[#This Row],[DATE]],"ddd")</f>
        <v>Fri</v>
      </c>
      <c r="K530" s="14">
        <f>WEEKNUM(InputData[[#This Row],[DATE]])</f>
        <v>33</v>
      </c>
      <c r="N530"/>
      <c r="R530" s="3" t="s">
        <v>61</v>
      </c>
      <c r="S530" s="1" t="str">
        <f t="shared" si="16"/>
        <v>Fairstone Retail Group</v>
      </c>
      <c r="V530"/>
      <c r="Z530" s="11" t="s">
        <v>11</v>
      </c>
      <c r="AA530" s="1" t="str">
        <f t="shared" si="17"/>
        <v>Wood Screw 40mm</v>
      </c>
      <c r="AF530"/>
    </row>
    <row r="531" spans="1:32" x14ac:dyDescent="0.3">
      <c r="A531" s="10">
        <v>44422</v>
      </c>
      <c r="B531" s="3" t="s">
        <v>144</v>
      </c>
      <c r="C531" s="11" t="s">
        <v>258</v>
      </c>
      <c r="D531" s="12">
        <v>201.28</v>
      </c>
      <c r="E531" s="1">
        <v>14</v>
      </c>
      <c r="F531" s="13">
        <f>InputData[[#This Row],[QUANTITY]]*InputData[[#This Row],[UNIT PRICE (R)]]</f>
        <v>2817.92</v>
      </c>
      <c r="G531" s="1" t="str">
        <f>VLOOKUP(InputData[[#This Row],[CUSTOMER NAME]],Country[],2,0)</f>
        <v>Bangladesh</v>
      </c>
      <c r="H531" s="1" t="str">
        <f>VLOOKUP(InputData[[#This Row],[CUSTOMER NAME]],Country[],3,0)</f>
        <v>Export</v>
      </c>
      <c r="I531" s="1" t="str">
        <f>TEXT(InputData[[#This Row],[DATE]],"mmmm")</f>
        <v>August</v>
      </c>
      <c r="J531" s="1" t="str">
        <f>TEXT(InputData[[#This Row],[DATE]],"ddd")</f>
        <v>Sat</v>
      </c>
      <c r="K531" s="14">
        <f>WEEKNUM(InputData[[#This Row],[DATE]])</f>
        <v>33</v>
      </c>
      <c r="N531"/>
      <c r="R531" s="3" t="s">
        <v>73</v>
      </c>
      <c r="S531" s="1" t="str">
        <f t="shared" si="16"/>
        <v>Ashworth Trading Group</v>
      </c>
      <c r="V531"/>
      <c r="Z531" s="11" t="s">
        <v>27</v>
      </c>
      <c r="AA531" s="1" t="str">
        <f t="shared" si="17"/>
        <v>Padlock Hasp 100mm</v>
      </c>
      <c r="AF531"/>
    </row>
    <row r="532" spans="1:32" x14ac:dyDescent="0.3">
      <c r="A532" s="10">
        <v>44423</v>
      </c>
      <c r="B532" s="3" t="s">
        <v>156</v>
      </c>
      <c r="C532" s="11" t="s">
        <v>243</v>
      </c>
      <c r="D532" s="12">
        <v>15.719999999999999</v>
      </c>
      <c r="E532" s="1">
        <v>7</v>
      </c>
      <c r="F532" s="13">
        <f>InputData[[#This Row],[QUANTITY]]*InputData[[#This Row],[UNIT PRICE (R)]]</f>
        <v>110.03999999999999</v>
      </c>
      <c r="G532" s="1" t="str">
        <f>VLOOKUP(InputData[[#This Row],[CUSTOMER NAME]],Country[],2,0)</f>
        <v>India</v>
      </c>
      <c r="H532" s="1" t="str">
        <f>VLOOKUP(InputData[[#This Row],[CUSTOMER NAME]],Country[],3,0)</f>
        <v>East</v>
      </c>
      <c r="I532" s="1" t="str">
        <f>TEXT(InputData[[#This Row],[DATE]],"mmmm")</f>
        <v>August</v>
      </c>
      <c r="J532" s="1" t="str">
        <f>TEXT(InputData[[#This Row],[DATE]],"ddd")</f>
        <v>Sun</v>
      </c>
      <c r="K532" s="14">
        <f>WEEKNUM(InputData[[#This Row],[DATE]])</f>
        <v>34</v>
      </c>
      <c r="N532"/>
      <c r="R532" s="3" t="s">
        <v>49</v>
      </c>
      <c r="S532" s="1" t="str">
        <f t="shared" si="16"/>
        <v>Baxter &amp; Kline Supplies</v>
      </c>
      <c r="V532"/>
      <c r="Z532" s="11" t="s">
        <v>30</v>
      </c>
      <c r="AA532" s="1" t="str">
        <f t="shared" si="17"/>
        <v>Door Latch Set</v>
      </c>
      <c r="AF532"/>
    </row>
    <row r="533" spans="1:32" x14ac:dyDescent="0.3">
      <c r="A533" s="10">
        <v>44423</v>
      </c>
      <c r="B533" s="3" t="s">
        <v>179</v>
      </c>
      <c r="C533" s="11" t="s">
        <v>239</v>
      </c>
      <c r="D533" s="12">
        <v>48.4</v>
      </c>
      <c r="E533" s="1">
        <v>10</v>
      </c>
      <c r="F533" s="13">
        <f>InputData[[#This Row],[QUANTITY]]*InputData[[#This Row],[UNIT PRICE (R)]]</f>
        <v>484</v>
      </c>
      <c r="G533" s="1" t="str">
        <f>VLOOKUP(InputData[[#This Row],[CUSTOMER NAME]],Country[],2,0)</f>
        <v>United States of America</v>
      </c>
      <c r="H533" s="1" t="str">
        <f>VLOOKUP(InputData[[#This Row],[CUSTOMER NAME]],Country[],3,0)</f>
        <v>Export</v>
      </c>
      <c r="I533" s="1" t="str">
        <f>TEXT(InputData[[#This Row],[DATE]],"mmmm")</f>
        <v>August</v>
      </c>
      <c r="J533" s="1" t="str">
        <f>TEXT(InputData[[#This Row],[DATE]],"ddd")</f>
        <v>Sun</v>
      </c>
      <c r="K533" s="14">
        <f>WEEKNUM(InputData[[#This Row],[DATE]])</f>
        <v>34</v>
      </c>
      <c r="N533"/>
      <c r="R533" s="3" t="s">
        <v>61</v>
      </c>
      <c r="S533" s="1" t="str">
        <f t="shared" si="16"/>
        <v>Fairstone Retail Group</v>
      </c>
      <c r="V533"/>
      <c r="Z533" s="11" t="s">
        <v>15</v>
      </c>
      <c r="AA533" s="1" t="str">
        <f t="shared" si="17"/>
        <v>Rivet 4mm</v>
      </c>
      <c r="AF533"/>
    </row>
    <row r="534" spans="1:32" x14ac:dyDescent="0.3">
      <c r="A534" s="10">
        <v>44424</v>
      </c>
      <c r="B534" s="3" t="s">
        <v>151</v>
      </c>
      <c r="C534" s="11" t="s">
        <v>237</v>
      </c>
      <c r="D534" s="12">
        <v>7.8599999999999994</v>
      </c>
      <c r="E534" s="1">
        <v>31</v>
      </c>
      <c r="F534" s="13">
        <f>InputData[[#This Row],[QUANTITY]]*InputData[[#This Row],[UNIT PRICE (R)]]</f>
        <v>243.65999999999997</v>
      </c>
      <c r="G534" s="1" t="str">
        <f>VLOOKUP(InputData[[#This Row],[CUSTOMER NAME]],Country[],2,0)</f>
        <v>Russia</v>
      </c>
      <c r="H534" s="1" t="str">
        <f>VLOOKUP(InputData[[#This Row],[CUSTOMER NAME]],Country[],3,0)</f>
        <v>Export</v>
      </c>
      <c r="I534" s="1" t="str">
        <f>TEXT(InputData[[#This Row],[DATE]],"mmmm")</f>
        <v>August</v>
      </c>
      <c r="J534" s="1" t="str">
        <f>TEXT(InputData[[#This Row],[DATE]],"ddd")</f>
        <v>Mon</v>
      </c>
      <c r="K534" s="14">
        <f>WEEKNUM(InputData[[#This Row],[DATE]])</f>
        <v>34</v>
      </c>
      <c r="N534"/>
      <c r="R534" s="3" t="s">
        <v>101</v>
      </c>
      <c r="S534" s="1" t="str">
        <f t="shared" si="16"/>
        <v>Hollowell Supply Co.</v>
      </c>
      <c r="V534"/>
      <c r="Z534" s="11" t="s">
        <v>11</v>
      </c>
      <c r="AA534" s="1" t="str">
        <f t="shared" si="17"/>
        <v>Wood Screw 40mm</v>
      </c>
      <c r="AF534"/>
    </row>
    <row r="535" spans="1:32" x14ac:dyDescent="0.3">
      <c r="A535" s="10">
        <v>44424</v>
      </c>
      <c r="B535" s="3" t="s">
        <v>162</v>
      </c>
      <c r="C535" s="11" t="s">
        <v>231</v>
      </c>
      <c r="D535" s="12">
        <v>80.94</v>
      </c>
      <c r="E535" s="1">
        <v>3</v>
      </c>
      <c r="F535" s="13">
        <f>InputData[[#This Row],[QUANTITY]]*InputData[[#This Row],[UNIT PRICE (R)]]</f>
        <v>242.82</v>
      </c>
      <c r="G535" s="1" t="str">
        <f>VLOOKUP(InputData[[#This Row],[CUSTOMER NAME]],Country[],2,0)</f>
        <v>United Kingdom</v>
      </c>
      <c r="H535" s="1" t="str">
        <f>VLOOKUP(InputData[[#This Row],[CUSTOMER NAME]],Country[],3,0)</f>
        <v>Export</v>
      </c>
      <c r="I535" s="1" t="str">
        <f>TEXT(InputData[[#This Row],[DATE]],"mmmm")</f>
        <v>August</v>
      </c>
      <c r="J535" s="1" t="str">
        <f>TEXT(InputData[[#This Row],[DATE]],"ddd")</f>
        <v>Mon</v>
      </c>
      <c r="K535" s="14">
        <f>WEEKNUM(InputData[[#This Row],[DATE]])</f>
        <v>34</v>
      </c>
      <c r="N535"/>
      <c r="R535" s="3" t="s">
        <v>56</v>
      </c>
      <c r="S535" s="1" t="str">
        <f t="shared" si="16"/>
        <v>Northgate Industries</v>
      </c>
      <c r="V535"/>
      <c r="Z535" s="11" t="s">
        <v>9</v>
      </c>
      <c r="AA535" s="1" t="str">
        <f t="shared" si="17"/>
        <v>Threaded Rod M12</v>
      </c>
      <c r="AF535"/>
    </row>
    <row r="536" spans="1:32" x14ac:dyDescent="0.3">
      <c r="A536" s="10">
        <v>44424</v>
      </c>
      <c r="B536" s="3" t="s">
        <v>168</v>
      </c>
      <c r="C536" s="11" t="s">
        <v>241</v>
      </c>
      <c r="D536" s="12">
        <v>122.08</v>
      </c>
      <c r="E536" s="1">
        <v>1</v>
      </c>
      <c r="F536" s="13">
        <f>InputData[[#This Row],[QUANTITY]]*InputData[[#This Row],[UNIT PRICE (R)]]</f>
        <v>122.08</v>
      </c>
      <c r="G536" s="1" t="str">
        <f>VLOOKUP(InputData[[#This Row],[CUSTOMER NAME]],Country[],2,0)</f>
        <v>India</v>
      </c>
      <c r="H536" s="1" t="str">
        <f>VLOOKUP(InputData[[#This Row],[CUSTOMER NAME]],Country[],3,0)</f>
        <v>Northeast</v>
      </c>
      <c r="I536" s="1" t="str">
        <f>TEXT(InputData[[#This Row],[DATE]],"mmmm")</f>
        <v>August</v>
      </c>
      <c r="J536" s="1" t="str">
        <f>TEXT(InputData[[#This Row],[DATE]],"ddd")</f>
        <v>Mon</v>
      </c>
      <c r="K536" s="14">
        <f>WEEKNUM(InputData[[#This Row],[DATE]])</f>
        <v>34</v>
      </c>
      <c r="N536"/>
      <c r="R536" s="3" t="s">
        <v>67</v>
      </c>
      <c r="S536" s="1" t="str">
        <f t="shared" si="16"/>
        <v>Ironbridge Trading Co.</v>
      </c>
      <c r="V536"/>
      <c r="Z536" s="11" t="s">
        <v>3</v>
      </c>
      <c r="AA536" s="1" t="str">
        <f t="shared" si="17"/>
        <v>Hex Bolt M12</v>
      </c>
      <c r="AF536"/>
    </row>
    <row r="537" spans="1:32" x14ac:dyDescent="0.3">
      <c r="A537" s="10">
        <v>44426</v>
      </c>
      <c r="B537" s="3" t="s">
        <v>153</v>
      </c>
      <c r="C537" s="11" t="s">
        <v>253</v>
      </c>
      <c r="D537" s="12">
        <v>8.33</v>
      </c>
      <c r="E537" s="1">
        <v>6</v>
      </c>
      <c r="F537" s="13">
        <f>InputData[[#This Row],[QUANTITY]]*InputData[[#This Row],[UNIT PRICE (R)]]</f>
        <v>49.980000000000004</v>
      </c>
      <c r="G537" s="1" t="str">
        <f>VLOOKUP(InputData[[#This Row],[CUSTOMER NAME]],Country[],2,0)</f>
        <v>Mexico</v>
      </c>
      <c r="H537" s="1" t="str">
        <f>VLOOKUP(InputData[[#This Row],[CUSTOMER NAME]],Country[],3,0)</f>
        <v>Export</v>
      </c>
      <c r="I537" s="1" t="str">
        <f>TEXT(InputData[[#This Row],[DATE]],"mmmm")</f>
        <v>August</v>
      </c>
      <c r="J537" s="1" t="str">
        <f>TEXT(InputData[[#This Row],[DATE]],"ddd")</f>
        <v>Wed</v>
      </c>
      <c r="K537" s="14">
        <f>WEEKNUM(InputData[[#This Row],[DATE]])</f>
        <v>34</v>
      </c>
      <c r="N537"/>
      <c r="R537" s="3" t="s">
        <v>73</v>
      </c>
      <c r="S537" s="1" t="str">
        <f t="shared" si="16"/>
        <v>Ashworth Trading Group</v>
      </c>
      <c r="V537"/>
      <c r="Z537" s="11" t="s">
        <v>13</v>
      </c>
      <c r="AA537" s="1" t="str">
        <f t="shared" si="17"/>
        <v>Machine Screw M4</v>
      </c>
      <c r="AF537"/>
    </row>
    <row r="538" spans="1:32" x14ac:dyDescent="0.3">
      <c r="A538" s="10">
        <v>44426</v>
      </c>
      <c r="B538" s="3" t="s">
        <v>162</v>
      </c>
      <c r="C538" s="11" t="s">
        <v>257</v>
      </c>
      <c r="D538" s="12">
        <v>53.11</v>
      </c>
      <c r="E538" s="1">
        <v>8</v>
      </c>
      <c r="F538" s="13">
        <f>InputData[[#This Row],[QUANTITY]]*InputData[[#This Row],[UNIT PRICE (R)]]</f>
        <v>424.88</v>
      </c>
      <c r="G538" s="1" t="str">
        <f>VLOOKUP(InputData[[#This Row],[CUSTOMER NAME]],Country[],2,0)</f>
        <v>United Kingdom</v>
      </c>
      <c r="H538" s="1" t="str">
        <f>VLOOKUP(InputData[[#This Row],[CUSTOMER NAME]],Country[],3,0)</f>
        <v>Export</v>
      </c>
      <c r="I538" s="1" t="str">
        <f>TEXT(InputData[[#This Row],[DATE]],"mmmm")</f>
        <v>August</v>
      </c>
      <c r="J538" s="1" t="str">
        <f>TEXT(InputData[[#This Row],[DATE]],"ddd")</f>
        <v>Wed</v>
      </c>
      <c r="K538" s="14">
        <f>WEEKNUM(InputData[[#This Row],[DATE]])</f>
        <v>34</v>
      </c>
      <c r="N538"/>
      <c r="R538" s="3" t="s">
        <v>58</v>
      </c>
      <c r="S538" s="1" t="str">
        <f t="shared" si="16"/>
        <v>Redwood Mercantile</v>
      </c>
      <c r="V538"/>
      <c r="Z538" s="11" t="s">
        <v>25</v>
      </c>
      <c r="AA538" s="1" t="str">
        <f t="shared" si="17"/>
        <v>Turnbuckle M8</v>
      </c>
      <c r="AF538"/>
    </row>
    <row r="539" spans="1:32" x14ac:dyDescent="0.3">
      <c r="A539" s="10">
        <v>44426</v>
      </c>
      <c r="B539" s="3" t="s">
        <v>165</v>
      </c>
      <c r="C539" s="11" t="s">
        <v>257</v>
      </c>
      <c r="D539" s="12">
        <v>53.11</v>
      </c>
      <c r="E539" s="1">
        <v>19</v>
      </c>
      <c r="F539" s="13">
        <f>InputData[[#This Row],[QUANTITY]]*InputData[[#This Row],[UNIT PRICE (R)]]</f>
        <v>1009.09</v>
      </c>
      <c r="G539" s="1" t="str">
        <f>VLOOKUP(InputData[[#This Row],[CUSTOMER NAME]],Country[],2,0)</f>
        <v>India</v>
      </c>
      <c r="H539" s="1" t="str">
        <f>VLOOKUP(InputData[[#This Row],[CUSTOMER NAME]],Country[],3,0)</f>
        <v>Western</v>
      </c>
      <c r="I539" s="1" t="str">
        <f>TEXT(InputData[[#This Row],[DATE]],"mmmm")</f>
        <v>August</v>
      </c>
      <c r="J539" s="1" t="str">
        <f>TEXT(InputData[[#This Row],[DATE]],"ddd")</f>
        <v>Wed</v>
      </c>
      <c r="K539" s="14">
        <f>WEEKNUM(InputData[[#This Row],[DATE]])</f>
        <v>34</v>
      </c>
      <c r="N539"/>
      <c r="R539" s="3" t="s">
        <v>67</v>
      </c>
      <c r="S539" s="1" t="str">
        <f t="shared" si="16"/>
        <v>Ironbridge Trading Co.</v>
      </c>
      <c r="V539"/>
      <c r="Z539" s="11" t="s">
        <v>29</v>
      </c>
      <c r="AA539" s="1" t="str">
        <f t="shared" si="17"/>
        <v>Butt Hinge 100mm</v>
      </c>
      <c r="AF539"/>
    </row>
    <row r="540" spans="1:32" x14ac:dyDescent="0.3">
      <c r="A540" s="10">
        <v>44426</v>
      </c>
      <c r="B540" s="3" t="s">
        <v>179</v>
      </c>
      <c r="C540" s="11" t="s">
        <v>238</v>
      </c>
      <c r="D540" s="12">
        <v>164.28</v>
      </c>
      <c r="E540" s="1">
        <v>2</v>
      </c>
      <c r="F540" s="13">
        <f>InputData[[#This Row],[QUANTITY]]*InputData[[#This Row],[UNIT PRICE (R)]]</f>
        <v>328.56</v>
      </c>
      <c r="G540" s="1" t="str">
        <f>VLOOKUP(InputData[[#This Row],[CUSTOMER NAME]],Country[],2,0)</f>
        <v>United States of America</v>
      </c>
      <c r="H540" s="1" t="str">
        <f>VLOOKUP(InputData[[#This Row],[CUSTOMER NAME]],Country[],3,0)</f>
        <v>Export</v>
      </c>
      <c r="I540" s="1" t="str">
        <f>TEXT(InputData[[#This Row],[DATE]],"mmmm")</f>
        <v>August</v>
      </c>
      <c r="J540" s="1" t="str">
        <f>TEXT(InputData[[#This Row],[DATE]],"ddd")</f>
        <v>Wed</v>
      </c>
      <c r="K540" s="14">
        <f>WEEKNUM(InputData[[#This Row],[DATE]])</f>
        <v>34</v>
      </c>
      <c r="N540"/>
      <c r="R540" s="3" t="s">
        <v>70</v>
      </c>
      <c r="S540" s="1" t="str">
        <f t="shared" si="16"/>
        <v>Larkspur Retailers</v>
      </c>
      <c r="V540"/>
      <c r="Z540" s="11" t="s">
        <v>29</v>
      </c>
      <c r="AA540" s="1" t="str">
        <f t="shared" si="17"/>
        <v>Butt Hinge 100mm</v>
      </c>
      <c r="AF540"/>
    </row>
    <row r="541" spans="1:32" x14ac:dyDescent="0.3">
      <c r="A541" s="10">
        <v>44427</v>
      </c>
      <c r="B541" s="3" t="s">
        <v>146</v>
      </c>
      <c r="C541" s="11" t="s">
        <v>235</v>
      </c>
      <c r="D541" s="12">
        <v>47.730000000000004</v>
      </c>
      <c r="E541" s="1">
        <v>3</v>
      </c>
      <c r="F541" s="13">
        <f>InputData[[#This Row],[QUANTITY]]*InputData[[#This Row],[UNIT PRICE (R)]]</f>
        <v>143.19</v>
      </c>
      <c r="G541" s="1" t="str">
        <f>VLOOKUP(InputData[[#This Row],[CUSTOMER NAME]],Country[],2,0)</f>
        <v>Saudi Arabia</v>
      </c>
      <c r="H541" s="1" t="str">
        <f>VLOOKUP(InputData[[#This Row],[CUSTOMER NAME]],Country[],3,0)</f>
        <v>Export</v>
      </c>
      <c r="I541" s="1" t="str">
        <f>TEXT(InputData[[#This Row],[DATE]],"mmmm")</f>
        <v>August</v>
      </c>
      <c r="J541" s="1" t="str">
        <f>TEXT(InputData[[#This Row],[DATE]],"ddd")</f>
        <v>Thu</v>
      </c>
      <c r="K541" s="14">
        <f>WEEKNUM(InputData[[#This Row],[DATE]])</f>
        <v>34</v>
      </c>
      <c r="N541"/>
      <c r="R541" s="3" t="s">
        <v>101</v>
      </c>
      <c r="S541" s="1" t="str">
        <f t="shared" si="16"/>
        <v>Hollowell Supply Co.</v>
      </c>
      <c r="V541"/>
      <c r="Z541" s="11" t="s">
        <v>10</v>
      </c>
      <c r="AA541" s="1" t="str">
        <f t="shared" si="17"/>
        <v>Self-Tapping Screw 25mm</v>
      </c>
      <c r="AF541"/>
    </row>
    <row r="542" spans="1:32" x14ac:dyDescent="0.3">
      <c r="A542" s="10">
        <v>44428</v>
      </c>
      <c r="B542" s="3" t="s">
        <v>144</v>
      </c>
      <c r="C542" s="11" t="s">
        <v>261</v>
      </c>
      <c r="D542" s="12">
        <v>119.7</v>
      </c>
      <c r="E542" s="1">
        <v>14</v>
      </c>
      <c r="F542" s="13">
        <f>InputData[[#This Row],[QUANTITY]]*InputData[[#This Row],[UNIT PRICE (R)]]</f>
        <v>1675.8</v>
      </c>
      <c r="G542" s="1" t="str">
        <f>VLOOKUP(InputData[[#This Row],[CUSTOMER NAME]],Country[],2,0)</f>
        <v>Bangladesh</v>
      </c>
      <c r="H542" s="1" t="str">
        <f>VLOOKUP(InputData[[#This Row],[CUSTOMER NAME]],Country[],3,0)</f>
        <v>Export</v>
      </c>
      <c r="I542" s="1" t="str">
        <f>TEXT(InputData[[#This Row],[DATE]],"mmmm")</f>
        <v>August</v>
      </c>
      <c r="J542" s="1" t="str">
        <f>TEXT(InputData[[#This Row],[DATE]],"ddd")</f>
        <v>Fri</v>
      </c>
      <c r="K542" s="14">
        <f>WEEKNUM(InputData[[#This Row],[DATE]])</f>
        <v>34</v>
      </c>
      <c r="N542"/>
      <c r="R542" s="3" t="s">
        <v>51</v>
      </c>
      <c r="S542" s="1" t="str">
        <f t="shared" si="16"/>
        <v>Coastal Fittings Ltd</v>
      </c>
      <c r="V542"/>
      <c r="Z542" s="11" t="s">
        <v>7</v>
      </c>
      <c r="AA542" s="1" t="str">
        <f t="shared" si="17"/>
        <v>Lock Washer M8</v>
      </c>
      <c r="AF542"/>
    </row>
    <row r="543" spans="1:32" x14ac:dyDescent="0.3">
      <c r="A543" s="10">
        <v>44428</v>
      </c>
      <c r="B543" s="3" t="s">
        <v>146</v>
      </c>
      <c r="C543" s="11" t="s">
        <v>248</v>
      </c>
      <c r="D543" s="12">
        <v>76.25</v>
      </c>
      <c r="E543" s="1">
        <v>15</v>
      </c>
      <c r="F543" s="13">
        <f>InputData[[#This Row],[QUANTITY]]*InputData[[#This Row],[UNIT PRICE (R)]]</f>
        <v>1143.75</v>
      </c>
      <c r="G543" s="1" t="str">
        <f>VLOOKUP(InputData[[#This Row],[CUSTOMER NAME]],Country[],2,0)</f>
        <v>Saudi Arabia</v>
      </c>
      <c r="H543" s="1" t="str">
        <f>VLOOKUP(InputData[[#This Row],[CUSTOMER NAME]],Country[],3,0)</f>
        <v>Export</v>
      </c>
      <c r="I543" s="1" t="str">
        <f>TEXT(InputData[[#This Row],[DATE]],"mmmm")</f>
        <v>August</v>
      </c>
      <c r="J543" s="1" t="str">
        <f>TEXT(InputData[[#This Row],[DATE]],"ddd")</f>
        <v>Fri</v>
      </c>
      <c r="K543" s="14">
        <f>WEEKNUM(InputData[[#This Row],[DATE]])</f>
        <v>34</v>
      </c>
      <c r="N543"/>
      <c r="R543" s="3" t="s">
        <v>49</v>
      </c>
      <c r="S543" s="1" t="str">
        <f t="shared" si="16"/>
        <v>Baxter &amp; Kline Supplies</v>
      </c>
      <c r="V543"/>
      <c r="Z543" s="11" t="s">
        <v>33</v>
      </c>
      <c r="AA543" s="1" t="str">
        <f t="shared" si="17"/>
        <v>Shelf Bracket 200mm</v>
      </c>
      <c r="AF543"/>
    </row>
    <row r="544" spans="1:32" x14ac:dyDescent="0.3">
      <c r="A544" s="10">
        <v>44428</v>
      </c>
      <c r="B544" s="3" t="s">
        <v>153</v>
      </c>
      <c r="C544" s="11" t="s">
        <v>251</v>
      </c>
      <c r="D544" s="12">
        <v>149.46</v>
      </c>
      <c r="E544" s="1">
        <v>13</v>
      </c>
      <c r="F544" s="13">
        <f>InputData[[#This Row],[QUANTITY]]*InputData[[#This Row],[UNIT PRICE (R)]]</f>
        <v>1942.98</v>
      </c>
      <c r="G544" s="1" t="str">
        <f>VLOOKUP(InputData[[#This Row],[CUSTOMER NAME]],Country[],2,0)</f>
        <v>Mexico</v>
      </c>
      <c r="H544" s="1" t="str">
        <f>VLOOKUP(InputData[[#This Row],[CUSTOMER NAME]],Country[],3,0)</f>
        <v>Export</v>
      </c>
      <c r="I544" s="1" t="str">
        <f>TEXT(InputData[[#This Row],[DATE]],"mmmm")</f>
        <v>August</v>
      </c>
      <c r="J544" s="1" t="str">
        <f>TEXT(InputData[[#This Row],[DATE]],"ddd")</f>
        <v>Fri</v>
      </c>
      <c r="K544" s="14">
        <f>WEEKNUM(InputData[[#This Row],[DATE]])</f>
        <v>34</v>
      </c>
      <c r="N544"/>
      <c r="R544" s="3" t="s">
        <v>51</v>
      </c>
      <c r="S544" s="1" t="str">
        <f t="shared" si="16"/>
        <v>Coastal Fittings Ltd</v>
      </c>
      <c r="V544"/>
      <c r="Z544" s="11" t="s">
        <v>20</v>
      </c>
      <c r="AA544" s="1" t="str">
        <f t="shared" si="17"/>
        <v>Toggle Bolt M6</v>
      </c>
      <c r="AF544"/>
    </row>
    <row r="545" spans="1:32" x14ac:dyDescent="0.3">
      <c r="A545" s="10">
        <v>44428</v>
      </c>
      <c r="B545" s="3" t="s">
        <v>157</v>
      </c>
      <c r="C545" s="11" t="s">
        <v>246</v>
      </c>
      <c r="D545" s="12">
        <v>49.21</v>
      </c>
      <c r="E545" s="1">
        <v>19</v>
      </c>
      <c r="F545" s="13">
        <f>InputData[[#This Row],[QUANTITY]]*InputData[[#This Row],[UNIT PRICE (R)]]</f>
        <v>934.99</v>
      </c>
      <c r="G545" s="1" t="str">
        <f>VLOOKUP(InputData[[#This Row],[CUSTOMER NAME]],Country[],2,0)</f>
        <v>Brazil</v>
      </c>
      <c r="H545" s="1" t="str">
        <f>VLOOKUP(InputData[[#This Row],[CUSTOMER NAME]],Country[],3,0)</f>
        <v>Export</v>
      </c>
      <c r="I545" s="1" t="str">
        <f>TEXT(InputData[[#This Row],[DATE]],"mmmm")</f>
        <v>August</v>
      </c>
      <c r="J545" s="1" t="str">
        <f>TEXT(InputData[[#This Row],[DATE]],"ddd")</f>
        <v>Fri</v>
      </c>
      <c r="K545" s="14">
        <f>WEEKNUM(InputData[[#This Row],[DATE]])</f>
        <v>34</v>
      </c>
      <c r="N545"/>
      <c r="R545" s="3" t="s">
        <v>58</v>
      </c>
      <c r="S545" s="1" t="str">
        <f t="shared" si="16"/>
        <v>Redwood Mercantile</v>
      </c>
      <c r="V545"/>
      <c r="Z545" s="11" t="s">
        <v>23</v>
      </c>
      <c r="AA545" s="1" t="str">
        <f t="shared" si="17"/>
        <v>U-Bolt M8</v>
      </c>
      <c r="AF545"/>
    </row>
    <row r="546" spans="1:32" x14ac:dyDescent="0.3">
      <c r="A546" s="10">
        <v>44428</v>
      </c>
      <c r="B546" s="3" t="s">
        <v>164</v>
      </c>
      <c r="C546" s="11" t="s">
        <v>259</v>
      </c>
      <c r="D546" s="12">
        <v>104.16</v>
      </c>
      <c r="E546" s="1">
        <v>9</v>
      </c>
      <c r="F546" s="13">
        <f>InputData[[#This Row],[QUANTITY]]*InputData[[#This Row],[UNIT PRICE (R)]]</f>
        <v>937.43999999999994</v>
      </c>
      <c r="G546" s="1" t="str">
        <f>VLOOKUP(InputData[[#This Row],[CUSTOMER NAME]],Country[],2,0)</f>
        <v>India</v>
      </c>
      <c r="H546" s="1" t="str">
        <f>VLOOKUP(InputData[[#This Row],[CUSTOMER NAME]],Country[],3,0)</f>
        <v>East</v>
      </c>
      <c r="I546" s="1" t="str">
        <f>TEXT(InputData[[#This Row],[DATE]],"mmmm")</f>
        <v>August</v>
      </c>
      <c r="J546" s="1" t="str">
        <f>TEXT(InputData[[#This Row],[DATE]],"ddd")</f>
        <v>Fri</v>
      </c>
      <c r="K546" s="14">
        <f>WEEKNUM(InputData[[#This Row],[DATE]])</f>
        <v>34</v>
      </c>
      <c r="N546"/>
      <c r="R546" s="3" t="s">
        <v>62</v>
      </c>
      <c r="S546" s="1" t="str">
        <f t="shared" si="16"/>
        <v>Marchbank Traders</v>
      </c>
      <c r="V546"/>
      <c r="Z546" s="11" t="s">
        <v>18</v>
      </c>
      <c r="AA546" s="1" t="str">
        <f t="shared" si="17"/>
        <v>Split Pin 5mm</v>
      </c>
      <c r="AF546"/>
    </row>
    <row r="547" spans="1:32" x14ac:dyDescent="0.3">
      <c r="A547" s="10">
        <v>44428</v>
      </c>
      <c r="B547" s="3" t="s">
        <v>165</v>
      </c>
      <c r="C547" s="11" t="s">
        <v>256</v>
      </c>
      <c r="D547" s="12">
        <v>41.81</v>
      </c>
      <c r="E547" s="1">
        <v>13</v>
      </c>
      <c r="F547" s="13">
        <f>InputData[[#This Row],[QUANTITY]]*InputData[[#This Row],[UNIT PRICE (R)]]</f>
        <v>543.53</v>
      </c>
      <c r="G547" s="1" t="str">
        <f>VLOOKUP(InputData[[#This Row],[CUSTOMER NAME]],Country[],2,0)</f>
        <v>India</v>
      </c>
      <c r="H547" s="1" t="str">
        <f>VLOOKUP(InputData[[#This Row],[CUSTOMER NAME]],Country[],3,0)</f>
        <v>Western</v>
      </c>
      <c r="I547" s="1" t="str">
        <f>TEXT(InputData[[#This Row],[DATE]],"mmmm")</f>
        <v>August</v>
      </c>
      <c r="J547" s="1" t="str">
        <f>TEXT(InputData[[#This Row],[DATE]],"ddd")</f>
        <v>Fri</v>
      </c>
      <c r="K547" s="14">
        <f>WEEKNUM(InputData[[#This Row],[DATE]])</f>
        <v>34</v>
      </c>
      <c r="N547"/>
      <c r="R547" s="3" t="s">
        <v>69</v>
      </c>
      <c r="S547" s="1" t="str">
        <f t="shared" si="16"/>
        <v>Southcote Industries</v>
      </c>
      <c r="V547"/>
      <c r="Z547" s="11" t="s">
        <v>31</v>
      </c>
      <c r="AA547" s="1" t="str">
        <f t="shared" si="17"/>
        <v>Gate Bolt 150mm</v>
      </c>
      <c r="AF547"/>
    </row>
    <row r="548" spans="1:32" x14ac:dyDescent="0.3">
      <c r="A548" s="10">
        <v>44429</v>
      </c>
      <c r="B548" s="3" t="s">
        <v>165</v>
      </c>
      <c r="C548" s="11" t="s">
        <v>244</v>
      </c>
      <c r="D548" s="12">
        <v>16.64</v>
      </c>
      <c r="E548" s="1">
        <v>4</v>
      </c>
      <c r="F548" s="13">
        <f>InputData[[#This Row],[QUANTITY]]*InputData[[#This Row],[UNIT PRICE (R)]]</f>
        <v>66.56</v>
      </c>
      <c r="G548" s="1" t="str">
        <f>VLOOKUP(InputData[[#This Row],[CUSTOMER NAME]],Country[],2,0)</f>
        <v>India</v>
      </c>
      <c r="H548" s="1" t="str">
        <f>VLOOKUP(InputData[[#This Row],[CUSTOMER NAME]],Country[],3,0)</f>
        <v>Western</v>
      </c>
      <c r="I548" s="1" t="str">
        <f>TEXT(InputData[[#This Row],[DATE]],"mmmm")</f>
        <v>August</v>
      </c>
      <c r="J548" s="1" t="str">
        <f>TEXT(InputData[[#This Row],[DATE]],"ddd")</f>
        <v>Sat</v>
      </c>
      <c r="K548" s="14">
        <f>WEEKNUM(InputData[[#This Row],[DATE]])</f>
        <v>34</v>
      </c>
      <c r="N548"/>
      <c r="R548" s="3" t="s">
        <v>70</v>
      </c>
      <c r="S548" s="1" t="str">
        <f t="shared" si="16"/>
        <v>Larkspur Retailers</v>
      </c>
      <c r="V548"/>
      <c r="Z548" s="11" t="s">
        <v>28</v>
      </c>
      <c r="AA548" s="1" t="str">
        <f t="shared" si="17"/>
        <v>Cabinet Hinge 75mm</v>
      </c>
      <c r="AF548"/>
    </row>
    <row r="549" spans="1:32" x14ac:dyDescent="0.3">
      <c r="A549" s="10">
        <v>44430</v>
      </c>
      <c r="B549" s="3" t="s">
        <v>164</v>
      </c>
      <c r="C549" s="11" t="s">
        <v>233</v>
      </c>
      <c r="D549" s="12">
        <v>155.61000000000001</v>
      </c>
      <c r="E549" s="1">
        <v>19</v>
      </c>
      <c r="F549" s="13">
        <f>InputData[[#This Row],[QUANTITY]]*InputData[[#This Row],[UNIT PRICE (R)]]</f>
        <v>2956.59</v>
      </c>
      <c r="G549" s="1" t="str">
        <f>VLOOKUP(InputData[[#This Row],[CUSTOMER NAME]],Country[],2,0)</f>
        <v>India</v>
      </c>
      <c r="H549" s="1" t="str">
        <f>VLOOKUP(InputData[[#This Row],[CUSTOMER NAME]],Country[],3,0)</f>
        <v>East</v>
      </c>
      <c r="I549" s="1" t="str">
        <f>TEXT(InputData[[#This Row],[DATE]],"mmmm")</f>
        <v>August</v>
      </c>
      <c r="J549" s="1" t="str">
        <f>TEXT(InputData[[#This Row],[DATE]],"ddd")</f>
        <v>Sun</v>
      </c>
      <c r="K549" s="14">
        <f>WEEKNUM(InputData[[#This Row],[DATE]])</f>
        <v>35</v>
      </c>
      <c r="N549"/>
      <c r="R549" s="3" t="s">
        <v>70</v>
      </c>
      <c r="S549" s="1" t="str">
        <f t="shared" si="16"/>
        <v>Larkspur Retailers</v>
      </c>
      <c r="V549"/>
      <c r="Z549" s="11" t="s">
        <v>16</v>
      </c>
      <c r="AA549" s="1" t="str">
        <f t="shared" si="17"/>
        <v>Blind Rivet 6mm</v>
      </c>
      <c r="AF549"/>
    </row>
    <row r="550" spans="1:32" x14ac:dyDescent="0.3">
      <c r="A550" s="10">
        <v>44431</v>
      </c>
      <c r="B550" s="3" t="s">
        <v>148</v>
      </c>
      <c r="C550" s="11" t="s">
        <v>272</v>
      </c>
      <c r="D550" s="12">
        <v>82.08</v>
      </c>
      <c r="E550" s="1">
        <v>11</v>
      </c>
      <c r="F550" s="13">
        <f>InputData[[#This Row],[QUANTITY]]*InputData[[#This Row],[UNIT PRICE (R)]]</f>
        <v>902.88</v>
      </c>
      <c r="G550" s="1" t="str">
        <f>VLOOKUP(InputData[[#This Row],[CUSTOMER NAME]],Country[],2,0)</f>
        <v>Pakistan</v>
      </c>
      <c r="H550" s="1" t="str">
        <f>VLOOKUP(InputData[[#This Row],[CUSTOMER NAME]],Country[],3,0)</f>
        <v>Export</v>
      </c>
      <c r="I550" s="1" t="str">
        <f>TEXT(InputData[[#This Row],[DATE]],"mmmm")</f>
        <v>August</v>
      </c>
      <c r="J550" s="1" t="str">
        <f>TEXT(InputData[[#This Row],[DATE]],"ddd")</f>
        <v>Mon</v>
      </c>
      <c r="K550" s="14">
        <f>WEEKNUM(InputData[[#This Row],[DATE]])</f>
        <v>35</v>
      </c>
      <c r="N550"/>
      <c r="R550" s="3" t="s">
        <v>69</v>
      </c>
      <c r="S550" s="1" t="str">
        <f t="shared" si="16"/>
        <v>Southcote Industries</v>
      </c>
      <c r="V550"/>
      <c r="Z550" s="11" t="s">
        <v>5</v>
      </c>
      <c r="AA550" s="1" t="str">
        <f t="shared" si="17"/>
        <v>Wing Nut M6</v>
      </c>
      <c r="AF550"/>
    </row>
    <row r="551" spans="1:32" x14ac:dyDescent="0.3">
      <c r="A551" s="10">
        <v>44431</v>
      </c>
      <c r="B551" s="3" t="s">
        <v>161</v>
      </c>
      <c r="C551" s="11" t="s">
        <v>257</v>
      </c>
      <c r="D551" s="12">
        <v>53.11</v>
      </c>
      <c r="E551" s="1">
        <v>14</v>
      </c>
      <c r="F551" s="13">
        <f>InputData[[#This Row],[QUANTITY]]*InputData[[#This Row],[UNIT PRICE (R)]]</f>
        <v>743.54</v>
      </c>
      <c r="G551" s="1" t="str">
        <f>VLOOKUP(InputData[[#This Row],[CUSTOMER NAME]],Country[],2,0)</f>
        <v>India</v>
      </c>
      <c r="H551" s="1" t="str">
        <f>VLOOKUP(InputData[[#This Row],[CUSTOMER NAME]],Country[],3,0)</f>
        <v>Central</v>
      </c>
      <c r="I551" s="1" t="str">
        <f>TEXT(InputData[[#This Row],[DATE]],"mmmm")</f>
        <v>August</v>
      </c>
      <c r="J551" s="1" t="str">
        <f>TEXT(InputData[[#This Row],[DATE]],"ddd")</f>
        <v>Mon</v>
      </c>
      <c r="K551" s="14">
        <f>WEEKNUM(InputData[[#This Row],[DATE]])</f>
        <v>35</v>
      </c>
      <c r="N551"/>
      <c r="R551" s="3" t="s">
        <v>53</v>
      </c>
      <c r="S551" s="1" t="str">
        <f t="shared" si="16"/>
        <v>Vantage Point Retailers</v>
      </c>
      <c r="V551"/>
      <c r="Z551" s="11" t="s">
        <v>44</v>
      </c>
      <c r="AA551" s="1" t="str">
        <f t="shared" si="17"/>
        <v>Brass Elbow Joint 20mm</v>
      </c>
      <c r="AF551"/>
    </row>
    <row r="552" spans="1:32" x14ac:dyDescent="0.3">
      <c r="A552" s="10">
        <v>44432</v>
      </c>
      <c r="B552" s="3" t="s">
        <v>161</v>
      </c>
      <c r="C552" s="11" t="s">
        <v>233</v>
      </c>
      <c r="D552" s="12">
        <v>155.61000000000001</v>
      </c>
      <c r="E552" s="1">
        <v>5</v>
      </c>
      <c r="F552" s="13">
        <f>InputData[[#This Row],[QUANTITY]]*InputData[[#This Row],[UNIT PRICE (R)]]</f>
        <v>778.05000000000007</v>
      </c>
      <c r="G552" s="1" t="str">
        <f>VLOOKUP(InputData[[#This Row],[CUSTOMER NAME]],Country[],2,0)</f>
        <v>India</v>
      </c>
      <c r="H552" s="1" t="str">
        <f>VLOOKUP(InputData[[#This Row],[CUSTOMER NAME]],Country[],3,0)</f>
        <v>Central</v>
      </c>
      <c r="I552" s="1" t="str">
        <f>TEXT(InputData[[#This Row],[DATE]],"mmmm")</f>
        <v>August</v>
      </c>
      <c r="J552" s="1" t="str">
        <f>TEXT(InputData[[#This Row],[DATE]],"ddd")</f>
        <v>Tue</v>
      </c>
      <c r="K552" s="14">
        <f>WEEKNUM(InputData[[#This Row],[DATE]])</f>
        <v>35</v>
      </c>
      <c r="N552"/>
      <c r="R552" s="3" t="s">
        <v>66</v>
      </c>
      <c r="S552" s="1" t="str">
        <f t="shared" si="16"/>
        <v>Whitfield Distributors</v>
      </c>
      <c r="V552"/>
      <c r="Z552" s="11" t="s">
        <v>29</v>
      </c>
      <c r="AA552" s="1" t="str">
        <f t="shared" si="17"/>
        <v>Butt Hinge 100mm</v>
      </c>
      <c r="AF552"/>
    </row>
    <row r="553" spans="1:32" x14ac:dyDescent="0.3">
      <c r="A553" s="10">
        <v>44433</v>
      </c>
      <c r="B553" s="3" t="s">
        <v>168</v>
      </c>
      <c r="C553" s="11" t="s">
        <v>269</v>
      </c>
      <c r="D553" s="12">
        <v>173.88</v>
      </c>
      <c r="E553" s="1">
        <v>38</v>
      </c>
      <c r="F553" s="13">
        <f>InputData[[#This Row],[QUANTITY]]*InputData[[#This Row],[UNIT PRICE (R)]]</f>
        <v>6607.44</v>
      </c>
      <c r="G553" s="1" t="str">
        <f>VLOOKUP(InputData[[#This Row],[CUSTOMER NAME]],Country[],2,0)</f>
        <v>India</v>
      </c>
      <c r="H553" s="1" t="str">
        <f>VLOOKUP(InputData[[#This Row],[CUSTOMER NAME]],Country[],3,0)</f>
        <v>Northeast</v>
      </c>
      <c r="I553" s="1" t="str">
        <f>TEXT(InputData[[#This Row],[DATE]],"mmmm")</f>
        <v>August</v>
      </c>
      <c r="J553" s="1" t="str">
        <f>TEXT(InputData[[#This Row],[DATE]],"ddd")</f>
        <v>Wed</v>
      </c>
      <c r="K553" s="14">
        <f>WEEKNUM(InputData[[#This Row],[DATE]])</f>
        <v>35</v>
      </c>
      <c r="N553"/>
      <c r="R553" s="3" t="s">
        <v>66</v>
      </c>
      <c r="S553" s="1" t="str">
        <f t="shared" si="16"/>
        <v>Whitfield Distributors</v>
      </c>
      <c r="V553"/>
      <c r="Z553" s="11" t="s">
        <v>5</v>
      </c>
      <c r="AA553" s="1" t="str">
        <f t="shared" si="17"/>
        <v>Wing Nut M6</v>
      </c>
      <c r="AF553"/>
    </row>
    <row r="554" spans="1:32" x14ac:dyDescent="0.3">
      <c r="A554" s="10">
        <v>44434</v>
      </c>
      <c r="B554" s="3" t="s">
        <v>174</v>
      </c>
      <c r="C554" s="11" t="s">
        <v>262</v>
      </c>
      <c r="D554" s="12">
        <v>58.3</v>
      </c>
      <c r="E554" s="1">
        <v>21</v>
      </c>
      <c r="F554" s="13">
        <f>InputData[[#This Row],[QUANTITY]]*InputData[[#This Row],[UNIT PRICE (R)]]</f>
        <v>1224.3</v>
      </c>
      <c r="G554" s="1" t="str">
        <f>VLOOKUP(InputData[[#This Row],[CUSTOMER NAME]],Country[],2,0)</f>
        <v>Pakistan</v>
      </c>
      <c r="H554" s="1" t="str">
        <f>VLOOKUP(InputData[[#This Row],[CUSTOMER NAME]],Country[],3,0)</f>
        <v>Export</v>
      </c>
      <c r="I554" s="1" t="str">
        <f>TEXT(InputData[[#This Row],[DATE]],"mmmm")</f>
        <v>August</v>
      </c>
      <c r="J554" s="1" t="str">
        <f>TEXT(InputData[[#This Row],[DATE]],"ddd")</f>
        <v>Thu</v>
      </c>
      <c r="K554" s="14">
        <f>WEEKNUM(InputData[[#This Row],[DATE]])</f>
        <v>35</v>
      </c>
      <c r="N554"/>
      <c r="R554" s="3" t="s">
        <v>73</v>
      </c>
      <c r="S554" s="1" t="str">
        <f t="shared" si="16"/>
        <v>Ashworth Trading Group</v>
      </c>
      <c r="V554"/>
      <c r="Z554" s="11" t="s">
        <v>41</v>
      </c>
      <c r="AA554" s="1" t="str">
        <f t="shared" si="17"/>
        <v>PVC Elbow 20mm</v>
      </c>
      <c r="AF554"/>
    </row>
    <row r="555" spans="1:32" x14ac:dyDescent="0.3">
      <c r="A555" s="10">
        <v>44434</v>
      </c>
      <c r="B555" s="3" t="s">
        <v>151</v>
      </c>
      <c r="C555" s="11" t="s">
        <v>267</v>
      </c>
      <c r="D555" s="12">
        <v>42.55</v>
      </c>
      <c r="E555" s="1">
        <v>4</v>
      </c>
      <c r="F555" s="13">
        <f>InputData[[#This Row],[QUANTITY]]*InputData[[#This Row],[UNIT PRICE (R)]]</f>
        <v>170.2</v>
      </c>
      <c r="G555" s="1" t="str">
        <f>VLOOKUP(InputData[[#This Row],[CUSTOMER NAME]],Country[],2,0)</f>
        <v>Russia</v>
      </c>
      <c r="H555" s="1" t="str">
        <f>VLOOKUP(InputData[[#This Row],[CUSTOMER NAME]],Country[],3,0)</f>
        <v>Export</v>
      </c>
      <c r="I555" s="1" t="str">
        <f>TEXT(InputData[[#This Row],[DATE]],"mmmm")</f>
        <v>August</v>
      </c>
      <c r="J555" s="1" t="str">
        <f>TEXT(InputData[[#This Row],[DATE]],"ddd")</f>
        <v>Thu</v>
      </c>
      <c r="K555" s="14">
        <f>WEEKNUM(InputData[[#This Row],[DATE]])</f>
        <v>35</v>
      </c>
      <c r="N555"/>
      <c r="R555" s="3" t="s">
        <v>96</v>
      </c>
      <c r="S555" s="1" t="str">
        <f t="shared" si="16"/>
        <v>Draycott Wholesalers</v>
      </c>
      <c r="V555"/>
      <c r="Z555" s="11" t="s">
        <v>34</v>
      </c>
      <c r="AA555" s="1" t="str">
        <f t="shared" si="17"/>
        <v>L-Bracket 75mm</v>
      </c>
      <c r="AF555"/>
    </row>
    <row r="556" spans="1:32" x14ac:dyDescent="0.3">
      <c r="A556" s="10">
        <v>44434</v>
      </c>
      <c r="B556" s="3" t="s">
        <v>154</v>
      </c>
      <c r="C556" s="11" t="s">
        <v>249</v>
      </c>
      <c r="D556" s="12">
        <v>162.54</v>
      </c>
      <c r="E556" s="1">
        <v>18</v>
      </c>
      <c r="F556" s="13">
        <f>InputData[[#This Row],[QUANTITY]]*InputData[[#This Row],[UNIT PRICE (R)]]</f>
        <v>2925.72</v>
      </c>
      <c r="G556" s="1" t="str">
        <f>VLOOKUP(InputData[[#This Row],[CUSTOMER NAME]],Country[],2,0)</f>
        <v>India</v>
      </c>
      <c r="H556" s="1" t="str">
        <f>VLOOKUP(InputData[[#This Row],[CUSTOMER NAME]],Country[],3,0)</f>
        <v>Central</v>
      </c>
      <c r="I556" s="1" t="str">
        <f>TEXT(InputData[[#This Row],[DATE]],"mmmm")</f>
        <v>August</v>
      </c>
      <c r="J556" s="1" t="str">
        <f>TEXT(InputData[[#This Row],[DATE]],"ddd")</f>
        <v>Thu</v>
      </c>
      <c r="K556" s="14">
        <f>WEEKNUM(InputData[[#This Row],[DATE]])</f>
        <v>35</v>
      </c>
      <c r="N556"/>
      <c r="R556" s="3" t="s">
        <v>56</v>
      </c>
      <c r="S556" s="1" t="str">
        <f t="shared" si="16"/>
        <v>Northgate Industries</v>
      </c>
      <c r="V556"/>
      <c r="Z556" s="11" t="s">
        <v>39</v>
      </c>
      <c r="AA556" s="1" t="str">
        <f t="shared" si="17"/>
        <v>Cable Clip 20mm</v>
      </c>
      <c r="AF556"/>
    </row>
    <row r="557" spans="1:32" x14ac:dyDescent="0.3">
      <c r="A557" s="10">
        <v>44434</v>
      </c>
      <c r="B557" s="3" t="s">
        <v>161</v>
      </c>
      <c r="C557" s="11" t="s">
        <v>265</v>
      </c>
      <c r="D557" s="12">
        <v>85.76</v>
      </c>
      <c r="E557" s="1">
        <v>8</v>
      </c>
      <c r="F557" s="13">
        <f>InputData[[#This Row],[QUANTITY]]*InputData[[#This Row],[UNIT PRICE (R)]]</f>
        <v>686.08</v>
      </c>
      <c r="G557" s="1" t="str">
        <f>VLOOKUP(InputData[[#This Row],[CUSTOMER NAME]],Country[],2,0)</f>
        <v>India</v>
      </c>
      <c r="H557" s="1" t="str">
        <f>VLOOKUP(InputData[[#This Row],[CUSTOMER NAME]],Country[],3,0)</f>
        <v>Central</v>
      </c>
      <c r="I557" s="1" t="str">
        <f>TEXT(InputData[[#This Row],[DATE]],"mmmm")</f>
        <v>August</v>
      </c>
      <c r="J557" s="1" t="str">
        <f>TEXT(InputData[[#This Row],[DATE]],"ddd")</f>
        <v>Thu</v>
      </c>
      <c r="K557" s="14">
        <f>WEEKNUM(InputData[[#This Row],[DATE]])</f>
        <v>35</v>
      </c>
      <c r="N557"/>
      <c r="R557" s="3" t="s">
        <v>59</v>
      </c>
      <c r="S557" s="1" t="str">
        <f t="shared" si="16"/>
        <v>Bellview Enterprises</v>
      </c>
      <c r="V557"/>
      <c r="Z557" s="11" t="s">
        <v>21</v>
      </c>
      <c r="AA557" s="1" t="str">
        <f t="shared" si="17"/>
        <v>Pipe Clamp 25mm</v>
      </c>
      <c r="AF557"/>
    </row>
    <row r="558" spans="1:32" x14ac:dyDescent="0.3">
      <c r="A558" s="10">
        <v>44434</v>
      </c>
      <c r="B558" s="3" t="s">
        <v>179</v>
      </c>
      <c r="C558" s="11" t="s">
        <v>247</v>
      </c>
      <c r="D558" s="12">
        <v>210</v>
      </c>
      <c r="E558" s="1">
        <v>13</v>
      </c>
      <c r="F558" s="13">
        <f>InputData[[#This Row],[QUANTITY]]*InputData[[#This Row],[UNIT PRICE (R)]]</f>
        <v>2730</v>
      </c>
      <c r="G558" s="1" t="str">
        <f>VLOOKUP(InputData[[#This Row],[CUSTOMER NAME]],Country[],2,0)</f>
        <v>United States of America</v>
      </c>
      <c r="H558" s="1" t="str">
        <f>VLOOKUP(InputData[[#This Row],[CUSTOMER NAME]],Country[],3,0)</f>
        <v>Export</v>
      </c>
      <c r="I558" s="1" t="str">
        <f>TEXT(InputData[[#This Row],[DATE]],"mmmm")</f>
        <v>August</v>
      </c>
      <c r="J558" s="1" t="str">
        <f>TEXT(InputData[[#This Row],[DATE]],"ddd")</f>
        <v>Thu</v>
      </c>
      <c r="K558" s="14">
        <f>WEEKNUM(InputData[[#This Row],[DATE]])</f>
        <v>35</v>
      </c>
      <c r="N558"/>
      <c r="R558" s="3" t="s">
        <v>66</v>
      </c>
      <c r="S558" s="1" t="str">
        <f t="shared" si="16"/>
        <v>Whitfield Distributors</v>
      </c>
      <c r="V558"/>
      <c r="Z558" s="11" t="s">
        <v>37</v>
      </c>
      <c r="AA558" s="1" t="str">
        <f t="shared" si="17"/>
        <v>Turnbuckle Hook M6</v>
      </c>
      <c r="AF558"/>
    </row>
    <row r="559" spans="1:32" x14ac:dyDescent="0.3">
      <c r="A559" s="10">
        <v>44434</v>
      </c>
      <c r="B559" s="3" t="s">
        <v>172</v>
      </c>
      <c r="C559" s="11" t="s">
        <v>237</v>
      </c>
      <c r="D559" s="12">
        <v>7.8599999999999994</v>
      </c>
      <c r="E559" s="1">
        <v>38</v>
      </c>
      <c r="F559" s="13">
        <f>InputData[[#This Row],[QUANTITY]]*InputData[[#This Row],[UNIT PRICE (R)]]</f>
        <v>298.67999999999995</v>
      </c>
      <c r="G559" s="1" t="str">
        <f>VLOOKUP(InputData[[#This Row],[CUSTOMER NAME]],Country[],2,0)</f>
        <v>Mexico</v>
      </c>
      <c r="H559" s="1" t="str">
        <f>VLOOKUP(InputData[[#This Row],[CUSTOMER NAME]],Country[],3,0)</f>
        <v>Export</v>
      </c>
      <c r="I559" s="1" t="str">
        <f>TEXT(InputData[[#This Row],[DATE]],"mmmm")</f>
        <v>August</v>
      </c>
      <c r="J559" s="1" t="str">
        <f>TEXT(InputData[[#This Row],[DATE]],"ddd")</f>
        <v>Thu</v>
      </c>
      <c r="K559" s="14">
        <f>WEEKNUM(InputData[[#This Row],[DATE]])</f>
        <v>35</v>
      </c>
      <c r="N559"/>
      <c r="R559" s="3" t="s">
        <v>101</v>
      </c>
      <c r="S559" s="1" t="str">
        <f t="shared" si="16"/>
        <v>Hollowell Supply Co.</v>
      </c>
      <c r="V559"/>
      <c r="Z559" s="11" t="s">
        <v>19</v>
      </c>
      <c r="AA559" s="1" t="str">
        <f t="shared" si="17"/>
        <v>Anchor Bolt M10</v>
      </c>
      <c r="AF559"/>
    </row>
    <row r="560" spans="1:32" x14ac:dyDescent="0.3">
      <c r="A560" s="10">
        <v>44435</v>
      </c>
      <c r="B560" s="3" t="s">
        <v>160</v>
      </c>
      <c r="C560" s="11" t="s">
        <v>267</v>
      </c>
      <c r="D560" s="12">
        <v>42.55</v>
      </c>
      <c r="E560" s="1">
        <v>15</v>
      </c>
      <c r="F560" s="13">
        <f>InputData[[#This Row],[QUANTITY]]*InputData[[#This Row],[UNIT PRICE (R)]]</f>
        <v>638.25</v>
      </c>
      <c r="G560" s="1" t="str">
        <f>VLOOKUP(InputData[[#This Row],[CUSTOMER NAME]],Country[],2,0)</f>
        <v>India</v>
      </c>
      <c r="H560" s="1" t="str">
        <f>VLOOKUP(InputData[[#This Row],[CUSTOMER NAME]],Country[],3,0)</f>
        <v>Western</v>
      </c>
      <c r="I560" s="1" t="str">
        <f>TEXT(InputData[[#This Row],[DATE]],"mmmm")</f>
        <v>August</v>
      </c>
      <c r="J560" s="1" t="str">
        <f>TEXT(InputData[[#This Row],[DATE]],"ddd")</f>
        <v>Fri</v>
      </c>
      <c r="K560" s="14">
        <f>WEEKNUM(InputData[[#This Row],[DATE]])</f>
        <v>35</v>
      </c>
      <c r="N560"/>
      <c r="R560" s="3" t="s">
        <v>77</v>
      </c>
      <c r="S560" s="1" t="str">
        <f t="shared" si="16"/>
        <v>Fenwick Traders</v>
      </c>
      <c r="V560"/>
      <c r="Z560" s="11" t="s">
        <v>9</v>
      </c>
      <c r="AA560" s="1" t="str">
        <f t="shared" si="17"/>
        <v>Threaded Rod M12</v>
      </c>
      <c r="AF560"/>
    </row>
    <row r="561" spans="1:32" x14ac:dyDescent="0.3">
      <c r="A561" s="10">
        <v>44436</v>
      </c>
      <c r="B561" s="3" t="s">
        <v>144</v>
      </c>
      <c r="C561" s="11" t="s">
        <v>238</v>
      </c>
      <c r="D561" s="12">
        <v>164.28</v>
      </c>
      <c r="E561" s="1">
        <v>20</v>
      </c>
      <c r="F561" s="13">
        <f>InputData[[#This Row],[QUANTITY]]*InputData[[#This Row],[UNIT PRICE (R)]]</f>
        <v>3285.6</v>
      </c>
      <c r="G561" s="1" t="str">
        <f>VLOOKUP(InputData[[#This Row],[CUSTOMER NAME]],Country[],2,0)</f>
        <v>Bangladesh</v>
      </c>
      <c r="H561" s="1" t="str">
        <f>VLOOKUP(InputData[[#This Row],[CUSTOMER NAME]],Country[],3,0)</f>
        <v>Export</v>
      </c>
      <c r="I561" s="1" t="str">
        <f>TEXT(InputData[[#This Row],[DATE]],"mmmm")</f>
        <v>August</v>
      </c>
      <c r="J561" s="1" t="str">
        <f>TEXT(InputData[[#This Row],[DATE]],"ddd")</f>
        <v>Sat</v>
      </c>
      <c r="K561" s="14">
        <f>WEEKNUM(InputData[[#This Row],[DATE]])</f>
        <v>35</v>
      </c>
      <c r="N561"/>
      <c r="R561" s="3" t="s">
        <v>65</v>
      </c>
      <c r="S561" s="1" t="str">
        <f t="shared" si="16"/>
        <v>Talbot Street Merchants</v>
      </c>
      <c r="V561"/>
      <c r="Z561" s="11" t="s">
        <v>39</v>
      </c>
      <c r="AA561" s="1" t="str">
        <f t="shared" si="17"/>
        <v>Cable Clip 20mm</v>
      </c>
      <c r="AF561"/>
    </row>
    <row r="562" spans="1:32" x14ac:dyDescent="0.3">
      <c r="A562" s="10">
        <v>44436</v>
      </c>
      <c r="B562" s="3" t="s">
        <v>174</v>
      </c>
      <c r="C562" s="11" t="s">
        <v>233</v>
      </c>
      <c r="D562" s="12">
        <v>155.61000000000001</v>
      </c>
      <c r="E562" s="1">
        <v>9</v>
      </c>
      <c r="F562" s="13">
        <f>InputData[[#This Row],[QUANTITY]]*InputData[[#This Row],[UNIT PRICE (R)]]</f>
        <v>1400.4900000000002</v>
      </c>
      <c r="G562" s="1" t="str">
        <f>VLOOKUP(InputData[[#This Row],[CUSTOMER NAME]],Country[],2,0)</f>
        <v>Pakistan</v>
      </c>
      <c r="H562" s="1" t="str">
        <f>VLOOKUP(InputData[[#This Row],[CUSTOMER NAME]],Country[],3,0)</f>
        <v>Export</v>
      </c>
      <c r="I562" s="1" t="str">
        <f>TEXT(InputData[[#This Row],[DATE]],"mmmm")</f>
        <v>August</v>
      </c>
      <c r="J562" s="1" t="str">
        <f>TEXT(InputData[[#This Row],[DATE]],"ddd")</f>
        <v>Sat</v>
      </c>
      <c r="K562" s="14">
        <f>WEEKNUM(InputData[[#This Row],[DATE]])</f>
        <v>35</v>
      </c>
      <c r="N562"/>
      <c r="R562" s="3" t="s">
        <v>49</v>
      </c>
      <c r="S562" s="1" t="str">
        <f t="shared" si="16"/>
        <v>Baxter &amp; Kline Supplies</v>
      </c>
      <c r="V562"/>
      <c r="Z562" s="11" t="s">
        <v>10</v>
      </c>
      <c r="AA562" s="1" t="str">
        <f t="shared" si="17"/>
        <v>Self-Tapping Screw 25mm</v>
      </c>
      <c r="AF562"/>
    </row>
    <row r="563" spans="1:32" x14ac:dyDescent="0.3">
      <c r="A563" s="10">
        <v>44436</v>
      </c>
      <c r="B563" s="3" t="s">
        <v>151</v>
      </c>
      <c r="C563" s="11" t="s">
        <v>267</v>
      </c>
      <c r="D563" s="12">
        <v>42.55</v>
      </c>
      <c r="E563" s="1">
        <v>5</v>
      </c>
      <c r="F563" s="13">
        <f>InputData[[#This Row],[QUANTITY]]*InputData[[#This Row],[UNIT PRICE (R)]]</f>
        <v>212.75</v>
      </c>
      <c r="G563" s="1" t="str">
        <f>VLOOKUP(InputData[[#This Row],[CUSTOMER NAME]],Country[],2,0)</f>
        <v>Russia</v>
      </c>
      <c r="H563" s="1" t="str">
        <f>VLOOKUP(InputData[[#This Row],[CUSTOMER NAME]],Country[],3,0)</f>
        <v>Export</v>
      </c>
      <c r="I563" s="1" t="str">
        <f>TEXT(InputData[[#This Row],[DATE]],"mmmm")</f>
        <v>August</v>
      </c>
      <c r="J563" s="1" t="str">
        <f>TEXT(InputData[[#This Row],[DATE]],"ddd")</f>
        <v>Sat</v>
      </c>
      <c r="K563" s="14">
        <f>WEEKNUM(InputData[[#This Row],[DATE]])</f>
        <v>35</v>
      </c>
      <c r="N563"/>
      <c r="R563" s="3" t="s">
        <v>96</v>
      </c>
      <c r="S563" s="1" t="str">
        <f t="shared" si="16"/>
        <v>Draycott Wholesalers</v>
      </c>
      <c r="V563"/>
      <c r="Z563" s="11" t="s">
        <v>5</v>
      </c>
      <c r="AA563" s="1" t="str">
        <f t="shared" si="17"/>
        <v>Wing Nut M6</v>
      </c>
      <c r="AF563"/>
    </row>
    <row r="564" spans="1:32" x14ac:dyDescent="0.3">
      <c r="A564" s="10">
        <v>44436</v>
      </c>
      <c r="B564" s="3" t="s">
        <v>153</v>
      </c>
      <c r="C564" s="11" t="s">
        <v>271</v>
      </c>
      <c r="D564" s="12">
        <v>83.08</v>
      </c>
      <c r="E564" s="1">
        <v>25</v>
      </c>
      <c r="F564" s="13">
        <f>InputData[[#This Row],[QUANTITY]]*InputData[[#This Row],[UNIT PRICE (R)]]</f>
        <v>2077</v>
      </c>
      <c r="G564" s="1" t="str">
        <f>VLOOKUP(InputData[[#This Row],[CUSTOMER NAME]],Country[],2,0)</f>
        <v>Mexico</v>
      </c>
      <c r="H564" s="1" t="str">
        <f>VLOOKUP(InputData[[#This Row],[CUSTOMER NAME]],Country[],3,0)</f>
        <v>Export</v>
      </c>
      <c r="I564" s="1" t="str">
        <f>TEXT(InputData[[#This Row],[DATE]],"mmmm")</f>
        <v>August</v>
      </c>
      <c r="J564" s="1" t="str">
        <f>TEXT(InputData[[#This Row],[DATE]],"ddd")</f>
        <v>Sat</v>
      </c>
      <c r="K564" s="14">
        <f>WEEKNUM(InputData[[#This Row],[DATE]])</f>
        <v>35</v>
      </c>
      <c r="N564"/>
      <c r="R564" s="3" t="s">
        <v>56</v>
      </c>
      <c r="S564" s="1" t="str">
        <f t="shared" si="16"/>
        <v>Northgate Industries</v>
      </c>
      <c r="V564"/>
      <c r="Z564" s="11" t="s">
        <v>39</v>
      </c>
      <c r="AA564" s="1" t="str">
        <f t="shared" si="17"/>
        <v>Cable Clip 20mm</v>
      </c>
      <c r="AF564"/>
    </row>
    <row r="565" spans="1:32" x14ac:dyDescent="0.3">
      <c r="A565" s="10">
        <v>44436</v>
      </c>
      <c r="B565" s="3" t="s">
        <v>163</v>
      </c>
      <c r="C565" s="11" t="s">
        <v>265</v>
      </c>
      <c r="D565" s="12">
        <v>85.76</v>
      </c>
      <c r="E565" s="1">
        <v>22</v>
      </c>
      <c r="F565" s="13">
        <f>InputData[[#This Row],[QUANTITY]]*InputData[[#This Row],[UNIT PRICE (R)]]</f>
        <v>1886.72</v>
      </c>
      <c r="G565" s="1" t="str">
        <f>VLOOKUP(InputData[[#This Row],[CUSTOMER NAME]],Country[],2,0)</f>
        <v>South Africa</v>
      </c>
      <c r="H565" s="1" t="str">
        <f>VLOOKUP(InputData[[#This Row],[CUSTOMER NAME]],Country[],3,0)</f>
        <v>Export</v>
      </c>
      <c r="I565" s="1" t="str">
        <f>TEXT(InputData[[#This Row],[DATE]],"mmmm")</f>
        <v>August</v>
      </c>
      <c r="J565" s="1" t="str">
        <f>TEXT(InputData[[#This Row],[DATE]],"ddd")</f>
        <v>Sat</v>
      </c>
      <c r="K565" s="14">
        <f>WEEKNUM(InputData[[#This Row],[DATE]])</f>
        <v>35</v>
      </c>
      <c r="N565"/>
      <c r="R565" s="3" t="s">
        <v>58</v>
      </c>
      <c r="S565" s="1" t="str">
        <f t="shared" si="16"/>
        <v>Redwood Mercantile</v>
      </c>
      <c r="V565"/>
      <c r="Z565" s="11" t="s">
        <v>43</v>
      </c>
      <c r="AA565" s="1" t="str">
        <f t="shared" si="17"/>
        <v>Copper Pipe Fitting 15mm</v>
      </c>
      <c r="AF565"/>
    </row>
    <row r="566" spans="1:32" x14ac:dyDescent="0.3">
      <c r="A566" s="10">
        <v>44437</v>
      </c>
      <c r="B566" s="3" t="s">
        <v>149</v>
      </c>
      <c r="C566" s="11" t="s">
        <v>262</v>
      </c>
      <c r="D566" s="12">
        <v>58.3</v>
      </c>
      <c r="E566" s="1">
        <v>12</v>
      </c>
      <c r="F566" s="13">
        <f>InputData[[#This Row],[QUANTITY]]*InputData[[#This Row],[UNIT PRICE (R)]]</f>
        <v>699.59999999999991</v>
      </c>
      <c r="G566" s="1" t="str">
        <f>VLOOKUP(InputData[[#This Row],[CUSTOMER NAME]],Country[],2,0)</f>
        <v>Indonesia</v>
      </c>
      <c r="H566" s="1" t="str">
        <f>VLOOKUP(InputData[[#This Row],[CUSTOMER NAME]],Country[],3,0)</f>
        <v>Export</v>
      </c>
      <c r="I566" s="1" t="str">
        <f>TEXT(InputData[[#This Row],[DATE]],"mmmm")</f>
        <v>August</v>
      </c>
      <c r="J566" s="1" t="str">
        <f>TEXT(InputData[[#This Row],[DATE]],"ddd")</f>
        <v>Sun</v>
      </c>
      <c r="K566" s="14">
        <f>WEEKNUM(InputData[[#This Row],[DATE]])</f>
        <v>36</v>
      </c>
      <c r="N566"/>
      <c r="R566" s="3" t="s">
        <v>68</v>
      </c>
      <c r="S566" s="1" t="str">
        <f t="shared" si="16"/>
        <v>Delacroix Wholesale</v>
      </c>
      <c r="V566"/>
      <c r="Z566" s="11" t="s">
        <v>37</v>
      </c>
      <c r="AA566" s="1" t="str">
        <f t="shared" si="17"/>
        <v>Turnbuckle Hook M6</v>
      </c>
      <c r="AF566"/>
    </row>
    <row r="567" spans="1:32" x14ac:dyDescent="0.3">
      <c r="A567" s="10">
        <v>44438</v>
      </c>
      <c r="B567" s="3" t="s">
        <v>146</v>
      </c>
      <c r="C567" s="11" t="s">
        <v>234</v>
      </c>
      <c r="D567" s="12">
        <v>85.5</v>
      </c>
      <c r="E567" s="1">
        <v>6</v>
      </c>
      <c r="F567" s="13">
        <f>InputData[[#This Row],[QUANTITY]]*InputData[[#This Row],[UNIT PRICE (R)]]</f>
        <v>513</v>
      </c>
      <c r="G567" s="1" t="str">
        <f>VLOOKUP(InputData[[#This Row],[CUSTOMER NAME]],Country[],2,0)</f>
        <v>Saudi Arabia</v>
      </c>
      <c r="H567" s="1" t="str">
        <f>VLOOKUP(InputData[[#This Row],[CUSTOMER NAME]],Country[],3,0)</f>
        <v>Export</v>
      </c>
      <c r="I567" s="1" t="str">
        <f>TEXT(InputData[[#This Row],[DATE]],"mmmm")</f>
        <v>August</v>
      </c>
      <c r="J567" s="1" t="str">
        <f>TEXT(InputData[[#This Row],[DATE]],"ddd")</f>
        <v>Mon</v>
      </c>
      <c r="K567" s="14">
        <f>WEEKNUM(InputData[[#This Row],[DATE]])</f>
        <v>36</v>
      </c>
      <c r="N567"/>
      <c r="R567" s="3" t="s">
        <v>54</v>
      </c>
      <c r="S567" s="1" t="str">
        <f t="shared" si="16"/>
        <v>Kestrel Logistics</v>
      </c>
      <c r="V567"/>
      <c r="Z567" s="11" t="s">
        <v>34</v>
      </c>
      <c r="AA567" s="1" t="str">
        <f t="shared" si="17"/>
        <v>L-Bracket 75mm</v>
      </c>
      <c r="AF567"/>
    </row>
    <row r="568" spans="1:32" x14ac:dyDescent="0.3">
      <c r="A568" s="10">
        <v>44438</v>
      </c>
      <c r="B568" s="3" t="s">
        <v>159</v>
      </c>
      <c r="C568" s="11" t="s">
        <v>241</v>
      </c>
      <c r="D568" s="12">
        <v>122.08</v>
      </c>
      <c r="E568" s="1">
        <v>13</v>
      </c>
      <c r="F568" s="13">
        <f>InputData[[#This Row],[QUANTITY]]*InputData[[#This Row],[UNIT PRICE (R)]]</f>
        <v>1587.04</v>
      </c>
      <c r="G568" s="1" t="str">
        <f>VLOOKUP(InputData[[#This Row],[CUSTOMER NAME]],Country[],2,0)</f>
        <v>Saudi Arabia</v>
      </c>
      <c r="H568" s="1" t="str">
        <f>VLOOKUP(InputData[[#This Row],[CUSTOMER NAME]],Country[],3,0)</f>
        <v>Export</v>
      </c>
      <c r="I568" s="1" t="str">
        <f>TEXT(InputData[[#This Row],[DATE]],"mmmm")</f>
        <v>August</v>
      </c>
      <c r="J568" s="1" t="str">
        <f>TEXT(InputData[[#This Row],[DATE]],"ddd")</f>
        <v>Mon</v>
      </c>
      <c r="K568" s="14">
        <f>WEEKNUM(InputData[[#This Row],[DATE]])</f>
        <v>36</v>
      </c>
      <c r="N568"/>
      <c r="R568" s="3" t="s">
        <v>51</v>
      </c>
      <c r="S568" s="1" t="str">
        <f t="shared" si="16"/>
        <v>Coastal Fittings Ltd</v>
      </c>
      <c r="V568"/>
      <c r="Z568" s="11" t="s">
        <v>6</v>
      </c>
      <c r="AA568" s="1" t="str">
        <f t="shared" si="17"/>
        <v>Flange Nut M10</v>
      </c>
      <c r="AF568"/>
    </row>
    <row r="569" spans="1:32" x14ac:dyDescent="0.3">
      <c r="A569" s="10">
        <v>44438</v>
      </c>
      <c r="B569" s="3" t="s">
        <v>181</v>
      </c>
      <c r="C569" s="11" t="s">
        <v>253</v>
      </c>
      <c r="D569" s="12">
        <v>8.33</v>
      </c>
      <c r="E569" s="1">
        <v>5</v>
      </c>
      <c r="F569" s="13">
        <f>InputData[[#This Row],[QUANTITY]]*InputData[[#This Row],[UNIT PRICE (R)]]</f>
        <v>41.65</v>
      </c>
      <c r="G569" s="1" t="str">
        <f>VLOOKUP(InputData[[#This Row],[CUSTOMER NAME]],Country[],2,0)</f>
        <v>Germany</v>
      </c>
      <c r="H569" s="1" t="str">
        <f>VLOOKUP(InputData[[#This Row],[CUSTOMER NAME]],Country[],3,0)</f>
        <v>Export</v>
      </c>
      <c r="I569" s="1" t="str">
        <f>TEXT(InputData[[#This Row],[DATE]],"mmmm")</f>
        <v>August</v>
      </c>
      <c r="J569" s="1" t="str">
        <f>TEXT(InputData[[#This Row],[DATE]],"ddd")</f>
        <v>Mon</v>
      </c>
      <c r="K569" s="14">
        <f>WEEKNUM(InputData[[#This Row],[DATE]])</f>
        <v>36</v>
      </c>
      <c r="N569"/>
      <c r="R569" s="3" t="s">
        <v>64</v>
      </c>
      <c r="S569" s="1" t="str">
        <f t="shared" si="16"/>
        <v>Ridgeway Commercial</v>
      </c>
      <c r="V569"/>
      <c r="Z569" s="11" t="s">
        <v>13</v>
      </c>
      <c r="AA569" s="1" t="str">
        <f t="shared" si="17"/>
        <v>Machine Screw M4</v>
      </c>
      <c r="AF569"/>
    </row>
    <row r="570" spans="1:32" x14ac:dyDescent="0.3">
      <c r="A570" s="10">
        <v>44438</v>
      </c>
      <c r="B570" s="3" t="s">
        <v>172</v>
      </c>
      <c r="C570" s="11" t="s">
        <v>271</v>
      </c>
      <c r="D570" s="12">
        <v>83.08</v>
      </c>
      <c r="E570" s="1">
        <v>6</v>
      </c>
      <c r="F570" s="13">
        <f>InputData[[#This Row],[QUANTITY]]*InputData[[#This Row],[UNIT PRICE (R)]]</f>
        <v>498.48</v>
      </c>
      <c r="G570" s="1" t="str">
        <f>VLOOKUP(InputData[[#This Row],[CUSTOMER NAME]],Country[],2,0)</f>
        <v>Mexico</v>
      </c>
      <c r="H570" s="1" t="str">
        <f>VLOOKUP(InputData[[#This Row],[CUSTOMER NAME]],Country[],3,0)</f>
        <v>Export</v>
      </c>
      <c r="I570" s="1" t="str">
        <f>TEXT(InputData[[#This Row],[DATE]],"mmmm")</f>
        <v>August</v>
      </c>
      <c r="J570" s="1" t="str">
        <f>TEXT(InputData[[#This Row],[DATE]],"ddd")</f>
        <v>Mon</v>
      </c>
      <c r="K570" s="14">
        <f>WEEKNUM(InputData[[#This Row],[DATE]])</f>
        <v>36</v>
      </c>
      <c r="N570"/>
      <c r="R570" s="3" t="s">
        <v>103</v>
      </c>
      <c r="S570" s="1" t="str">
        <f t="shared" si="16"/>
        <v>Vesterly Traders</v>
      </c>
      <c r="V570"/>
      <c r="Z570" s="11" t="s">
        <v>25</v>
      </c>
      <c r="AA570" s="1" t="str">
        <f t="shared" si="17"/>
        <v>Turnbuckle M8</v>
      </c>
      <c r="AF570"/>
    </row>
    <row r="571" spans="1:32" x14ac:dyDescent="0.3">
      <c r="A571" s="10">
        <v>44439</v>
      </c>
      <c r="B571" s="3" t="s">
        <v>152</v>
      </c>
      <c r="C571" s="11" t="s">
        <v>229</v>
      </c>
      <c r="D571" s="12">
        <v>103.88</v>
      </c>
      <c r="E571" s="1">
        <v>2</v>
      </c>
      <c r="F571" s="13">
        <f>InputData[[#This Row],[QUANTITY]]*InputData[[#This Row],[UNIT PRICE (R)]]</f>
        <v>207.76</v>
      </c>
      <c r="G571" s="1" t="str">
        <f>VLOOKUP(InputData[[#This Row],[CUSTOMER NAME]],Country[],2,0)</f>
        <v>India</v>
      </c>
      <c r="H571" s="1" t="str">
        <f>VLOOKUP(InputData[[#This Row],[CUSTOMER NAME]],Country[],3,0)</f>
        <v>South</v>
      </c>
      <c r="I571" s="1" t="str">
        <f>TEXT(InputData[[#This Row],[DATE]],"mmmm")</f>
        <v>August</v>
      </c>
      <c r="J571" s="1" t="str">
        <f>TEXT(InputData[[#This Row],[DATE]],"ddd")</f>
        <v>Tue</v>
      </c>
      <c r="K571" s="14">
        <f>WEEKNUM(InputData[[#This Row],[DATE]])</f>
        <v>36</v>
      </c>
      <c r="N571"/>
      <c r="R571" s="3" t="s">
        <v>77</v>
      </c>
      <c r="S571" s="1" t="str">
        <f t="shared" si="16"/>
        <v>Fenwick Traders</v>
      </c>
      <c r="V571"/>
      <c r="Z571" s="11" t="s">
        <v>43</v>
      </c>
      <c r="AA571" s="1" t="str">
        <f t="shared" si="17"/>
        <v>Copper Pipe Fitting 15mm</v>
      </c>
      <c r="AF571"/>
    </row>
    <row r="572" spans="1:32" x14ac:dyDescent="0.3">
      <c r="A572" s="10">
        <v>44439</v>
      </c>
      <c r="B572" s="3" t="s">
        <v>152</v>
      </c>
      <c r="C572" s="11" t="s">
        <v>243</v>
      </c>
      <c r="D572" s="12">
        <v>15.719999999999999</v>
      </c>
      <c r="E572" s="1">
        <v>13</v>
      </c>
      <c r="F572" s="13">
        <f>InputData[[#This Row],[QUANTITY]]*InputData[[#This Row],[UNIT PRICE (R)]]</f>
        <v>204.35999999999999</v>
      </c>
      <c r="G572" s="1" t="str">
        <f>VLOOKUP(InputData[[#This Row],[CUSTOMER NAME]],Country[],2,0)</f>
        <v>India</v>
      </c>
      <c r="H572" s="1" t="str">
        <f>VLOOKUP(InputData[[#This Row],[CUSTOMER NAME]],Country[],3,0)</f>
        <v>South</v>
      </c>
      <c r="I572" s="1" t="str">
        <f>TEXT(InputData[[#This Row],[DATE]],"mmmm")</f>
        <v>August</v>
      </c>
      <c r="J572" s="1" t="str">
        <f>TEXT(InputData[[#This Row],[DATE]],"ddd")</f>
        <v>Tue</v>
      </c>
      <c r="K572" s="14">
        <f>WEEKNUM(InputData[[#This Row],[DATE]])</f>
        <v>36</v>
      </c>
      <c r="N572"/>
      <c r="R572" s="3" t="s">
        <v>57</v>
      </c>
      <c r="S572" s="1" t="str">
        <f t="shared" si="16"/>
        <v>Ashcombe Traders</v>
      </c>
      <c r="V572"/>
      <c r="Z572" s="11" t="s">
        <v>1</v>
      </c>
      <c r="AA572" s="1" t="str">
        <f t="shared" si="17"/>
        <v>Hex Bolt M8</v>
      </c>
      <c r="AF572"/>
    </row>
    <row r="573" spans="1:32" x14ac:dyDescent="0.3">
      <c r="A573" s="10">
        <v>44439</v>
      </c>
      <c r="B573" s="3" t="s">
        <v>158</v>
      </c>
      <c r="C573" s="11" t="s">
        <v>263</v>
      </c>
      <c r="D573" s="12">
        <v>6.7</v>
      </c>
      <c r="E573" s="1">
        <v>11</v>
      </c>
      <c r="F573" s="13">
        <f>InputData[[#This Row],[QUANTITY]]*InputData[[#This Row],[UNIT PRICE (R)]]</f>
        <v>73.7</v>
      </c>
      <c r="G573" s="1" t="str">
        <f>VLOOKUP(InputData[[#This Row],[CUSTOMER NAME]],Country[],2,0)</f>
        <v>Russia</v>
      </c>
      <c r="H573" s="1" t="str">
        <f>VLOOKUP(InputData[[#This Row],[CUSTOMER NAME]],Country[],3,0)</f>
        <v>Export</v>
      </c>
      <c r="I573" s="1" t="str">
        <f>TEXT(InputData[[#This Row],[DATE]],"mmmm")</f>
        <v>August</v>
      </c>
      <c r="J573" s="1" t="str">
        <f>TEXT(InputData[[#This Row],[DATE]],"ddd")</f>
        <v>Tue</v>
      </c>
      <c r="K573" s="14">
        <f>WEEKNUM(InputData[[#This Row],[DATE]])</f>
        <v>36</v>
      </c>
      <c r="N573"/>
      <c r="R573" s="3" t="s">
        <v>57</v>
      </c>
      <c r="S573" s="1" t="str">
        <f t="shared" si="16"/>
        <v>Ashcombe Traders</v>
      </c>
      <c r="V573"/>
      <c r="Z573" s="11" t="s">
        <v>15</v>
      </c>
      <c r="AA573" s="1" t="str">
        <f t="shared" si="17"/>
        <v>Rivet 4mm</v>
      </c>
      <c r="AF573"/>
    </row>
    <row r="574" spans="1:32" x14ac:dyDescent="0.3">
      <c r="A574" s="10">
        <v>44439</v>
      </c>
      <c r="B574" s="3" t="s">
        <v>168</v>
      </c>
      <c r="C574" s="11" t="s">
        <v>249</v>
      </c>
      <c r="D574" s="12">
        <v>162.54</v>
      </c>
      <c r="E574" s="1">
        <v>6</v>
      </c>
      <c r="F574" s="13">
        <f>InputData[[#This Row],[QUANTITY]]*InputData[[#This Row],[UNIT PRICE (R)]]</f>
        <v>975.24</v>
      </c>
      <c r="G574" s="1" t="str">
        <f>VLOOKUP(InputData[[#This Row],[CUSTOMER NAME]],Country[],2,0)</f>
        <v>India</v>
      </c>
      <c r="H574" s="1" t="str">
        <f>VLOOKUP(InputData[[#This Row],[CUSTOMER NAME]],Country[],3,0)</f>
        <v>Northeast</v>
      </c>
      <c r="I574" s="1" t="str">
        <f>TEXT(InputData[[#This Row],[DATE]],"mmmm")</f>
        <v>August</v>
      </c>
      <c r="J574" s="1" t="str">
        <f>TEXT(InputData[[#This Row],[DATE]],"ddd")</f>
        <v>Tue</v>
      </c>
      <c r="K574" s="14">
        <f>WEEKNUM(InputData[[#This Row],[DATE]])</f>
        <v>36</v>
      </c>
      <c r="N574"/>
      <c r="R574" s="3" t="s">
        <v>63</v>
      </c>
      <c r="S574" s="1" t="str">
        <f t="shared" si="16"/>
        <v>Ovenden &amp; Sons</v>
      </c>
      <c r="V574"/>
      <c r="Z574" s="11" t="s">
        <v>35</v>
      </c>
      <c r="AA574" s="1" t="str">
        <f t="shared" si="17"/>
        <v>T-Bracket 100mm</v>
      </c>
      <c r="AF574"/>
    </row>
    <row r="575" spans="1:32" x14ac:dyDescent="0.3">
      <c r="A575" s="10">
        <v>44440</v>
      </c>
      <c r="B575" s="3" t="s">
        <v>147</v>
      </c>
      <c r="C575" s="11" t="s">
        <v>231</v>
      </c>
      <c r="D575" s="12">
        <v>80.94</v>
      </c>
      <c r="E575" s="1">
        <v>14</v>
      </c>
      <c r="F575" s="13">
        <f>InputData[[#This Row],[QUANTITY]]*InputData[[#This Row],[UNIT PRICE (R)]]</f>
        <v>1133.1599999999999</v>
      </c>
      <c r="G575" s="1" t="str">
        <f>VLOOKUP(InputData[[#This Row],[CUSTOMER NAME]],Country[],2,0)</f>
        <v>India</v>
      </c>
      <c r="H575" s="1" t="str">
        <f>VLOOKUP(InputData[[#This Row],[CUSTOMER NAME]],Country[],3,0)</f>
        <v>Northeast</v>
      </c>
      <c r="I575" s="1" t="str">
        <f>TEXT(InputData[[#This Row],[DATE]],"mmmm")</f>
        <v>September</v>
      </c>
      <c r="J575" s="1" t="str">
        <f>TEXT(InputData[[#This Row],[DATE]],"ddd")</f>
        <v>Wed</v>
      </c>
      <c r="K575" s="14">
        <f>WEEKNUM(InputData[[#This Row],[DATE]])</f>
        <v>36</v>
      </c>
      <c r="N575"/>
      <c r="R575" s="3" t="s">
        <v>73</v>
      </c>
      <c r="S575" s="1" t="str">
        <f t="shared" si="16"/>
        <v>Ashworth Trading Group</v>
      </c>
      <c r="V575"/>
      <c r="Z575" s="11" t="s">
        <v>21</v>
      </c>
      <c r="AA575" s="1" t="str">
        <f t="shared" si="17"/>
        <v>Pipe Clamp 25mm</v>
      </c>
      <c r="AF575"/>
    </row>
    <row r="576" spans="1:32" x14ac:dyDescent="0.3">
      <c r="A576" s="10">
        <v>44440</v>
      </c>
      <c r="B576" s="3" t="s">
        <v>159</v>
      </c>
      <c r="C576" s="11" t="s">
        <v>252</v>
      </c>
      <c r="D576" s="12">
        <v>156.96</v>
      </c>
      <c r="E576" s="1">
        <v>1</v>
      </c>
      <c r="F576" s="13">
        <f>InputData[[#This Row],[QUANTITY]]*InputData[[#This Row],[UNIT PRICE (R)]]</f>
        <v>156.96</v>
      </c>
      <c r="G576" s="1" t="str">
        <f>VLOOKUP(InputData[[#This Row],[CUSTOMER NAME]],Country[],2,0)</f>
        <v>Saudi Arabia</v>
      </c>
      <c r="H576" s="1" t="str">
        <f>VLOOKUP(InputData[[#This Row],[CUSTOMER NAME]],Country[],3,0)</f>
        <v>Export</v>
      </c>
      <c r="I576" s="1" t="str">
        <f>TEXT(InputData[[#This Row],[DATE]],"mmmm")</f>
        <v>September</v>
      </c>
      <c r="J576" s="1" t="str">
        <f>TEXT(InputData[[#This Row],[DATE]],"ddd")</f>
        <v>Wed</v>
      </c>
      <c r="K576" s="14">
        <f>WEEKNUM(InputData[[#This Row],[DATE]])</f>
        <v>36</v>
      </c>
      <c r="N576"/>
      <c r="R576" s="3" t="s">
        <v>52</v>
      </c>
      <c r="S576" s="1" t="str">
        <f t="shared" si="16"/>
        <v>Harrow Distribution</v>
      </c>
      <c r="V576"/>
      <c r="Z576" s="11" t="s">
        <v>3</v>
      </c>
      <c r="AA576" s="1" t="str">
        <f t="shared" si="17"/>
        <v>Hex Bolt M12</v>
      </c>
      <c r="AF576"/>
    </row>
    <row r="577" spans="1:32" x14ac:dyDescent="0.3">
      <c r="A577" s="10">
        <v>44440</v>
      </c>
      <c r="B577" s="3" t="s">
        <v>179</v>
      </c>
      <c r="C577" s="11" t="s">
        <v>243</v>
      </c>
      <c r="D577" s="12">
        <v>15.719999999999999</v>
      </c>
      <c r="E577" s="1">
        <v>11</v>
      </c>
      <c r="F577" s="13">
        <f>InputData[[#This Row],[QUANTITY]]*InputData[[#This Row],[UNIT PRICE (R)]]</f>
        <v>172.92</v>
      </c>
      <c r="G577" s="1" t="str">
        <f>VLOOKUP(InputData[[#This Row],[CUSTOMER NAME]],Country[],2,0)</f>
        <v>United States of America</v>
      </c>
      <c r="H577" s="1" t="str">
        <f>VLOOKUP(InputData[[#This Row],[CUSTOMER NAME]],Country[],3,0)</f>
        <v>Export</v>
      </c>
      <c r="I577" s="1" t="str">
        <f>TEXT(InputData[[#This Row],[DATE]],"mmmm")</f>
        <v>September</v>
      </c>
      <c r="J577" s="1" t="str">
        <f>TEXT(InputData[[#This Row],[DATE]],"ddd")</f>
        <v>Wed</v>
      </c>
      <c r="K577" s="14">
        <f>WEEKNUM(InputData[[#This Row],[DATE]])</f>
        <v>36</v>
      </c>
      <c r="N577"/>
      <c r="R577" s="3" t="s">
        <v>64</v>
      </c>
      <c r="S577" s="1" t="str">
        <f t="shared" si="16"/>
        <v>Ridgeway Commercial</v>
      </c>
      <c r="V577"/>
      <c r="Z577" s="11" t="s">
        <v>24</v>
      </c>
      <c r="AA577" s="1" t="str">
        <f t="shared" si="17"/>
        <v>Eye Bolt M10</v>
      </c>
      <c r="AF577"/>
    </row>
    <row r="578" spans="1:32" x14ac:dyDescent="0.3">
      <c r="A578" s="10">
        <v>44442</v>
      </c>
      <c r="B578" s="3" t="s">
        <v>168</v>
      </c>
      <c r="C578" s="11" t="s">
        <v>269</v>
      </c>
      <c r="D578" s="12">
        <v>173.88</v>
      </c>
      <c r="E578" s="1">
        <v>8</v>
      </c>
      <c r="F578" s="13">
        <f>InputData[[#This Row],[QUANTITY]]*InputData[[#This Row],[UNIT PRICE (R)]]</f>
        <v>1391.04</v>
      </c>
      <c r="G578" s="1" t="str">
        <f>VLOOKUP(InputData[[#This Row],[CUSTOMER NAME]],Country[],2,0)</f>
        <v>India</v>
      </c>
      <c r="H578" s="1" t="str">
        <f>VLOOKUP(InputData[[#This Row],[CUSTOMER NAME]],Country[],3,0)</f>
        <v>Northeast</v>
      </c>
      <c r="I578" s="1" t="str">
        <f>TEXT(InputData[[#This Row],[DATE]],"mmmm")</f>
        <v>September</v>
      </c>
      <c r="J578" s="1" t="str">
        <f>TEXT(InputData[[#This Row],[DATE]],"ddd")</f>
        <v>Fri</v>
      </c>
      <c r="K578" s="14">
        <f>WEEKNUM(InputData[[#This Row],[DATE]])</f>
        <v>36</v>
      </c>
      <c r="N578"/>
      <c r="R578" s="3" t="s">
        <v>101</v>
      </c>
      <c r="S578" s="1" t="str">
        <f t="shared" si="16"/>
        <v>Hollowell Supply Co.</v>
      </c>
      <c r="V578"/>
      <c r="Z578" s="11" t="s">
        <v>15</v>
      </c>
      <c r="AA578" s="1" t="str">
        <f t="shared" si="17"/>
        <v>Rivet 4mm</v>
      </c>
      <c r="AF578"/>
    </row>
    <row r="579" spans="1:32" x14ac:dyDescent="0.3">
      <c r="A579" s="10">
        <v>44442</v>
      </c>
      <c r="B579" s="3" t="s">
        <v>171</v>
      </c>
      <c r="C579" s="11" t="s">
        <v>244</v>
      </c>
      <c r="D579" s="12">
        <v>16.64</v>
      </c>
      <c r="E579" s="1">
        <v>28</v>
      </c>
      <c r="F579" s="13">
        <f>InputData[[#This Row],[QUANTITY]]*InputData[[#This Row],[UNIT PRICE (R)]]</f>
        <v>465.92</v>
      </c>
      <c r="G579" s="1" t="str">
        <f>VLOOKUP(InputData[[#This Row],[CUSTOMER NAME]],Country[],2,0)</f>
        <v>India</v>
      </c>
      <c r="H579" s="1" t="str">
        <f>VLOOKUP(InputData[[#This Row],[CUSTOMER NAME]],Country[],3,0)</f>
        <v>South</v>
      </c>
      <c r="I579" s="1" t="str">
        <f>TEXT(InputData[[#This Row],[DATE]],"mmmm")</f>
        <v>September</v>
      </c>
      <c r="J579" s="1" t="str">
        <f>TEXT(InputData[[#This Row],[DATE]],"ddd")</f>
        <v>Fri</v>
      </c>
      <c r="K579" s="14">
        <f>WEEKNUM(InputData[[#This Row],[DATE]])</f>
        <v>36</v>
      </c>
      <c r="N579"/>
      <c r="R579" s="3" t="s">
        <v>73</v>
      </c>
      <c r="S579" s="1" t="str">
        <f t="shared" si="16"/>
        <v>Ashworth Trading Group</v>
      </c>
      <c r="V579"/>
      <c r="Z579" s="11" t="s">
        <v>41</v>
      </c>
      <c r="AA579" s="1" t="str">
        <f t="shared" si="17"/>
        <v>PVC Elbow 20mm</v>
      </c>
      <c r="AF579"/>
    </row>
    <row r="580" spans="1:32" x14ac:dyDescent="0.3">
      <c r="A580" s="10">
        <v>44443</v>
      </c>
      <c r="B580" s="3" t="s">
        <v>161</v>
      </c>
      <c r="C580" s="11" t="s">
        <v>263</v>
      </c>
      <c r="D580" s="12">
        <v>6.7</v>
      </c>
      <c r="E580" s="1">
        <v>1</v>
      </c>
      <c r="F580" s="13">
        <f>InputData[[#This Row],[QUANTITY]]*InputData[[#This Row],[UNIT PRICE (R)]]</f>
        <v>6.7</v>
      </c>
      <c r="G580" s="1" t="str">
        <f>VLOOKUP(InputData[[#This Row],[CUSTOMER NAME]],Country[],2,0)</f>
        <v>India</v>
      </c>
      <c r="H580" s="1" t="str">
        <f>VLOOKUP(InputData[[#This Row],[CUSTOMER NAME]],Country[],3,0)</f>
        <v>Central</v>
      </c>
      <c r="I580" s="1" t="str">
        <f>TEXT(InputData[[#This Row],[DATE]],"mmmm")</f>
        <v>September</v>
      </c>
      <c r="J580" s="1" t="str">
        <f>TEXT(InputData[[#This Row],[DATE]],"ddd")</f>
        <v>Sat</v>
      </c>
      <c r="K580" s="14">
        <f>WEEKNUM(InputData[[#This Row],[DATE]])</f>
        <v>36</v>
      </c>
      <c r="N580"/>
      <c r="R580" s="3" t="s">
        <v>76</v>
      </c>
      <c r="S580" s="1" t="str">
        <f t="shared" si="16"/>
        <v>Overton Retail Solutions</v>
      </c>
      <c r="V580"/>
      <c r="Z580" s="11" t="s">
        <v>16</v>
      </c>
      <c r="AA580" s="1" t="str">
        <f t="shared" si="17"/>
        <v>Blind Rivet 6mm</v>
      </c>
      <c r="AF580"/>
    </row>
    <row r="581" spans="1:32" x14ac:dyDescent="0.3">
      <c r="A581" s="10">
        <v>44443</v>
      </c>
      <c r="B581" s="3" t="s">
        <v>164</v>
      </c>
      <c r="C581" s="11" t="s">
        <v>251</v>
      </c>
      <c r="D581" s="12">
        <v>149.46</v>
      </c>
      <c r="E581" s="1">
        <v>15</v>
      </c>
      <c r="F581" s="13">
        <f>InputData[[#This Row],[QUANTITY]]*InputData[[#This Row],[UNIT PRICE (R)]]</f>
        <v>2241.9</v>
      </c>
      <c r="G581" s="1" t="str">
        <f>VLOOKUP(InputData[[#This Row],[CUSTOMER NAME]],Country[],2,0)</f>
        <v>India</v>
      </c>
      <c r="H581" s="1" t="str">
        <f>VLOOKUP(InputData[[#This Row],[CUSTOMER NAME]],Country[],3,0)</f>
        <v>East</v>
      </c>
      <c r="I581" s="1" t="str">
        <f>TEXT(InputData[[#This Row],[DATE]],"mmmm")</f>
        <v>September</v>
      </c>
      <c r="J581" s="1" t="str">
        <f>TEXT(InputData[[#This Row],[DATE]],"ddd")</f>
        <v>Sat</v>
      </c>
      <c r="K581" s="14">
        <f>WEEKNUM(InputData[[#This Row],[DATE]])</f>
        <v>36</v>
      </c>
      <c r="N581"/>
      <c r="R581" s="3" t="s">
        <v>66</v>
      </c>
      <c r="S581" s="1" t="str">
        <f t="shared" si="16"/>
        <v>Whitfield Distributors</v>
      </c>
      <c r="V581"/>
      <c r="Z581" s="11" t="s">
        <v>35</v>
      </c>
      <c r="AA581" s="1" t="str">
        <f t="shared" si="17"/>
        <v>T-Bracket 100mm</v>
      </c>
      <c r="AF581"/>
    </row>
    <row r="582" spans="1:32" x14ac:dyDescent="0.3">
      <c r="A582" s="10">
        <v>44443</v>
      </c>
      <c r="B582" s="3" t="s">
        <v>167</v>
      </c>
      <c r="C582" s="11" t="s">
        <v>256</v>
      </c>
      <c r="D582" s="12">
        <v>41.81</v>
      </c>
      <c r="E582" s="1">
        <v>7</v>
      </c>
      <c r="F582" s="13">
        <f>InputData[[#This Row],[QUANTITY]]*InputData[[#This Row],[UNIT PRICE (R)]]</f>
        <v>292.67</v>
      </c>
      <c r="G582" s="1" t="str">
        <f>VLOOKUP(InputData[[#This Row],[CUSTOMER NAME]],Country[],2,0)</f>
        <v>Ethiopia</v>
      </c>
      <c r="H582" s="1" t="str">
        <f>VLOOKUP(InputData[[#This Row],[CUSTOMER NAME]],Country[],3,0)</f>
        <v>Export</v>
      </c>
      <c r="I582" s="1" t="str">
        <f>TEXT(InputData[[#This Row],[DATE]],"mmmm")</f>
        <v>September</v>
      </c>
      <c r="J582" s="1" t="str">
        <f>TEXT(InputData[[#This Row],[DATE]],"ddd")</f>
        <v>Sat</v>
      </c>
      <c r="K582" s="14">
        <f>WEEKNUM(InputData[[#This Row],[DATE]])</f>
        <v>36</v>
      </c>
      <c r="N582"/>
      <c r="R582" s="3" t="s">
        <v>69</v>
      </c>
      <c r="S582" s="1" t="str">
        <f t="shared" si="16"/>
        <v>Southcote Industries</v>
      </c>
      <c r="V582"/>
      <c r="Z582" s="11" t="s">
        <v>23</v>
      </c>
      <c r="AA582" s="1" t="str">
        <f t="shared" si="17"/>
        <v>U-Bolt M8</v>
      </c>
      <c r="AF582"/>
    </row>
    <row r="583" spans="1:32" x14ac:dyDescent="0.3">
      <c r="A583" s="10">
        <v>44443</v>
      </c>
      <c r="B583" s="3" t="s">
        <v>167</v>
      </c>
      <c r="C583" s="11" t="s">
        <v>229</v>
      </c>
      <c r="D583" s="12">
        <v>103.88</v>
      </c>
      <c r="E583" s="1">
        <v>34</v>
      </c>
      <c r="F583" s="13">
        <f>InputData[[#This Row],[QUANTITY]]*InputData[[#This Row],[UNIT PRICE (R)]]</f>
        <v>3531.92</v>
      </c>
      <c r="G583" s="1" t="str">
        <f>VLOOKUP(InputData[[#This Row],[CUSTOMER NAME]],Country[],2,0)</f>
        <v>Ethiopia</v>
      </c>
      <c r="H583" s="1" t="str">
        <f>VLOOKUP(InputData[[#This Row],[CUSTOMER NAME]],Country[],3,0)</f>
        <v>Export</v>
      </c>
      <c r="I583" s="1" t="str">
        <f>TEXT(InputData[[#This Row],[DATE]],"mmmm")</f>
        <v>September</v>
      </c>
      <c r="J583" s="1" t="str">
        <f>TEXT(InputData[[#This Row],[DATE]],"ddd")</f>
        <v>Sat</v>
      </c>
      <c r="K583" s="14">
        <f>WEEKNUM(InputData[[#This Row],[DATE]])</f>
        <v>36</v>
      </c>
      <c r="N583"/>
      <c r="R583" s="3" t="s">
        <v>72</v>
      </c>
      <c r="S583" s="1" t="str">
        <f t="shared" ref="S583:S646" si="18">_xlfn.XLOOKUP(R583,$N$5:$N$64,$O$5:$O$64,"Not Found")</f>
        <v>Hendricks Mercantile</v>
      </c>
      <c r="V583"/>
      <c r="Z583" s="11" t="s">
        <v>28</v>
      </c>
      <c r="AA583" s="1" t="str">
        <f t="shared" ref="AA583:AA646" si="19">_xlfn.XLOOKUP(Z583,$V$5:$V$48,$W$5:$W$48,"Not Found",0)</f>
        <v>Cabinet Hinge 75mm</v>
      </c>
      <c r="AF583"/>
    </row>
    <row r="584" spans="1:32" x14ac:dyDescent="0.3">
      <c r="A584" s="10">
        <v>44443</v>
      </c>
      <c r="B584" s="3" t="s">
        <v>167</v>
      </c>
      <c r="C584" s="11" t="s">
        <v>230</v>
      </c>
      <c r="D584" s="12">
        <v>142.80000000000001</v>
      </c>
      <c r="E584" s="1">
        <v>1</v>
      </c>
      <c r="F584" s="13">
        <f>InputData[[#This Row],[QUANTITY]]*InputData[[#This Row],[UNIT PRICE (R)]]</f>
        <v>142.80000000000001</v>
      </c>
      <c r="G584" s="1" t="str">
        <f>VLOOKUP(InputData[[#This Row],[CUSTOMER NAME]],Country[],2,0)</f>
        <v>Ethiopia</v>
      </c>
      <c r="H584" s="1" t="str">
        <f>VLOOKUP(InputData[[#This Row],[CUSTOMER NAME]],Country[],3,0)</f>
        <v>Export</v>
      </c>
      <c r="I584" s="1" t="str">
        <f>TEXT(InputData[[#This Row],[DATE]],"mmmm")</f>
        <v>September</v>
      </c>
      <c r="J584" s="1" t="str">
        <f>TEXT(InputData[[#This Row],[DATE]],"ddd")</f>
        <v>Sat</v>
      </c>
      <c r="K584" s="14">
        <f>WEEKNUM(InputData[[#This Row],[DATE]])</f>
        <v>36</v>
      </c>
      <c r="N584"/>
      <c r="R584" s="3" t="s">
        <v>72</v>
      </c>
      <c r="S584" s="1" t="str">
        <f t="shared" si="18"/>
        <v>Hendricks Mercantile</v>
      </c>
      <c r="V584"/>
      <c r="Z584" s="11" t="s">
        <v>1</v>
      </c>
      <c r="AA584" s="1" t="str">
        <f t="shared" si="19"/>
        <v>Hex Bolt M8</v>
      </c>
      <c r="AF584"/>
    </row>
    <row r="585" spans="1:32" x14ac:dyDescent="0.3">
      <c r="A585" s="10">
        <v>44444</v>
      </c>
      <c r="B585" s="3" t="s">
        <v>147</v>
      </c>
      <c r="C585" s="11" t="s">
        <v>260</v>
      </c>
      <c r="D585" s="12">
        <v>117.48</v>
      </c>
      <c r="E585" s="1">
        <v>1</v>
      </c>
      <c r="F585" s="13">
        <f>InputData[[#This Row],[QUANTITY]]*InputData[[#This Row],[UNIT PRICE (R)]]</f>
        <v>117.48</v>
      </c>
      <c r="G585" s="1" t="str">
        <f>VLOOKUP(InputData[[#This Row],[CUSTOMER NAME]],Country[],2,0)</f>
        <v>India</v>
      </c>
      <c r="H585" s="1" t="str">
        <f>VLOOKUP(InputData[[#This Row],[CUSTOMER NAME]],Country[],3,0)</f>
        <v>Northeast</v>
      </c>
      <c r="I585" s="1" t="str">
        <f>TEXT(InputData[[#This Row],[DATE]],"mmmm")</f>
        <v>September</v>
      </c>
      <c r="J585" s="1" t="str">
        <f>TEXT(InputData[[#This Row],[DATE]],"ddd")</f>
        <v>Sun</v>
      </c>
      <c r="K585" s="14">
        <f>WEEKNUM(InputData[[#This Row],[DATE]])</f>
        <v>37</v>
      </c>
      <c r="N585"/>
      <c r="R585" s="3" t="s">
        <v>72</v>
      </c>
      <c r="S585" s="1" t="str">
        <f t="shared" si="18"/>
        <v>Hendricks Mercantile</v>
      </c>
      <c r="V585"/>
      <c r="Z585" s="11" t="s">
        <v>2</v>
      </c>
      <c r="AA585" s="1" t="str">
        <f t="shared" si="19"/>
        <v>Hex Bolt M10</v>
      </c>
      <c r="AF585"/>
    </row>
    <row r="586" spans="1:32" x14ac:dyDescent="0.3">
      <c r="A586" s="10">
        <v>44444</v>
      </c>
      <c r="B586" s="3" t="s">
        <v>182</v>
      </c>
      <c r="C586" s="11" t="s">
        <v>235</v>
      </c>
      <c r="D586" s="12">
        <v>47.730000000000004</v>
      </c>
      <c r="E586" s="1">
        <v>35</v>
      </c>
      <c r="F586" s="13">
        <f>InputData[[#This Row],[QUANTITY]]*InputData[[#This Row],[UNIT PRICE (R)]]</f>
        <v>1670.5500000000002</v>
      </c>
      <c r="G586" s="1" t="str">
        <f>VLOOKUP(InputData[[#This Row],[CUSTOMER NAME]],Country[],2,0)</f>
        <v>United States of America</v>
      </c>
      <c r="H586" s="1" t="str">
        <f>VLOOKUP(InputData[[#This Row],[CUSTOMER NAME]],Country[],3,0)</f>
        <v>Export</v>
      </c>
      <c r="I586" s="1" t="str">
        <f>TEXT(InputData[[#This Row],[DATE]],"mmmm")</f>
        <v>September</v>
      </c>
      <c r="J586" s="1" t="str">
        <f>TEXT(InputData[[#This Row],[DATE]],"ddd")</f>
        <v>Sun</v>
      </c>
      <c r="K586" s="14">
        <f>WEEKNUM(InputData[[#This Row],[DATE]])</f>
        <v>37</v>
      </c>
      <c r="N586"/>
      <c r="R586" s="3" t="s">
        <v>52</v>
      </c>
      <c r="S586" s="1" t="str">
        <f t="shared" si="18"/>
        <v>Harrow Distribution</v>
      </c>
      <c r="V586"/>
      <c r="Z586" s="11" t="s">
        <v>32</v>
      </c>
      <c r="AA586" s="1" t="str">
        <f t="shared" si="19"/>
        <v>Corner Bracket 50mm</v>
      </c>
      <c r="AF586"/>
    </row>
    <row r="587" spans="1:32" x14ac:dyDescent="0.3">
      <c r="A587" s="10">
        <v>44445</v>
      </c>
      <c r="B587" s="3" t="s">
        <v>157</v>
      </c>
      <c r="C587" s="11" t="s">
        <v>259</v>
      </c>
      <c r="D587" s="12">
        <v>104.16</v>
      </c>
      <c r="E587" s="1">
        <v>20</v>
      </c>
      <c r="F587" s="13">
        <f>InputData[[#This Row],[QUANTITY]]*InputData[[#This Row],[UNIT PRICE (R)]]</f>
        <v>2083.1999999999998</v>
      </c>
      <c r="G587" s="1" t="str">
        <f>VLOOKUP(InputData[[#This Row],[CUSTOMER NAME]],Country[],2,0)</f>
        <v>Brazil</v>
      </c>
      <c r="H587" s="1" t="str">
        <f>VLOOKUP(InputData[[#This Row],[CUSTOMER NAME]],Country[],3,0)</f>
        <v>Export</v>
      </c>
      <c r="I587" s="1" t="str">
        <f>TEXT(InputData[[#This Row],[DATE]],"mmmm")</f>
        <v>September</v>
      </c>
      <c r="J587" s="1" t="str">
        <f>TEXT(InputData[[#This Row],[DATE]],"ddd")</f>
        <v>Mon</v>
      </c>
      <c r="K587" s="14">
        <f>WEEKNUM(InputData[[#This Row],[DATE]])</f>
        <v>37</v>
      </c>
      <c r="N587"/>
      <c r="R587" s="3" t="s">
        <v>104</v>
      </c>
      <c r="S587" s="1" t="str">
        <f t="shared" si="18"/>
        <v>Radcliffe Mercantile</v>
      </c>
      <c r="V587"/>
      <c r="Z587" s="11" t="s">
        <v>7</v>
      </c>
      <c r="AA587" s="1" t="str">
        <f t="shared" si="19"/>
        <v>Lock Washer M8</v>
      </c>
      <c r="AF587"/>
    </row>
    <row r="588" spans="1:32" x14ac:dyDescent="0.3">
      <c r="A588" s="10">
        <v>44445</v>
      </c>
      <c r="B588" s="3" t="s">
        <v>160</v>
      </c>
      <c r="C588" s="11" t="s">
        <v>233</v>
      </c>
      <c r="D588" s="12">
        <v>155.61000000000001</v>
      </c>
      <c r="E588" s="1">
        <v>12</v>
      </c>
      <c r="F588" s="13">
        <f>InputData[[#This Row],[QUANTITY]]*InputData[[#This Row],[UNIT PRICE (R)]]</f>
        <v>1867.3200000000002</v>
      </c>
      <c r="G588" s="1" t="str">
        <f>VLOOKUP(InputData[[#This Row],[CUSTOMER NAME]],Country[],2,0)</f>
        <v>India</v>
      </c>
      <c r="H588" s="1" t="str">
        <f>VLOOKUP(InputData[[#This Row],[CUSTOMER NAME]],Country[],3,0)</f>
        <v>Western</v>
      </c>
      <c r="I588" s="1" t="str">
        <f>TEXT(InputData[[#This Row],[DATE]],"mmmm")</f>
        <v>September</v>
      </c>
      <c r="J588" s="1" t="str">
        <f>TEXT(InputData[[#This Row],[DATE]],"ddd")</f>
        <v>Mon</v>
      </c>
      <c r="K588" s="14">
        <f>WEEKNUM(InputData[[#This Row],[DATE]])</f>
        <v>37</v>
      </c>
      <c r="N588"/>
      <c r="R588" s="3" t="s">
        <v>62</v>
      </c>
      <c r="S588" s="1" t="str">
        <f t="shared" si="18"/>
        <v>Marchbank Traders</v>
      </c>
      <c r="V588"/>
      <c r="Z588" s="11" t="s">
        <v>31</v>
      </c>
      <c r="AA588" s="1" t="str">
        <f t="shared" si="19"/>
        <v>Gate Bolt 150mm</v>
      </c>
      <c r="AF588"/>
    </row>
    <row r="589" spans="1:32" x14ac:dyDescent="0.3">
      <c r="A589" s="10">
        <v>44446</v>
      </c>
      <c r="B589" s="3" t="s">
        <v>143</v>
      </c>
      <c r="C589" s="11" t="s">
        <v>247</v>
      </c>
      <c r="D589" s="12">
        <v>210</v>
      </c>
      <c r="E589" s="1">
        <v>5</v>
      </c>
      <c r="F589" s="13">
        <f>InputData[[#This Row],[QUANTITY]]*InputData[[#This Row],[UNIT PRICE (R)]]</f>
        <v>1050</v>
      </c>
      <c r="G589" s="1" t="str">
        <f>VLOOKUP(InputData[[#This Row],[CUSTOMER NAME]],Country[],2,0)</f>
        <v>Nigeria</v>
      </c>
      <c r="H589" s="1" t="str">
        <f>VLOOKUP(InputData[[#This Row],[CUSTOMER NAME]],Country[],3,0)</f>
        <v>Export</v>
      </c>
      <c r="I589" s="1" t="str">
        <f>TEXT(InputData[[#This Row],[DATE]],"mmmm")</f>
        <v>September</v>
      </c>
      <c r="J589" s="1" t="str">
        <f>TEXT(InputData[[#This Row],[DATE]],"ddd")</f>
        <v>Tue</v>
      </c>
      <c r="K589" s="14">
        <f>WEEKNUM(InputData[[#This Row],[DATE]])</f>
        <v>37</v>
      </c>
      <c r="N589"/>
      <c r="R589" s="3" t="s">
        <v>65</v>
      </c>
      <c r="S589" s="1" t="str">
        <f t="shared" si="18"/>
        <v>Talbot Street Merchants</v>
      </c>
      <c r="V589"/>
      <c r="Z589" s="11" t="s">
        <v>5</v>
      </c>
      <c r="AA589" s="1" t="str">
        <f t="shared" si="19"/>
        <v>Wing Nut M6</v>
      </c>
      <c r="AF589"/>
    </row>
    <row r="590" spans="1:32" x14ac:dyDescent="0.3">
      <c r="A590" s="10">
        <v>44447</v>
      </c>
      <c r="B590" s="3" t="s">
        <v>164</v>
      </c>
      <c r="C590" s="11" t="s">
        <v>240</v>
      </c>
      <c r="D590" s="12">
        <v>94.17</v>
      </c>
      <c r="E590" s="1">
        <v>23</v>
      </c>
      <c r="F590" s="13">
        <f>InputData[[#This Row],[QUANTITY]]*InputData[[#This Row],[UNIT PRICE (R)]]</f>
        <v>2165.91</v>
      </c>
      <c r="G590" s="1" t="str">
        <f>VLOOKUP(InputData[[#This Row],[CUSTOMER NAME]],Country[],2,0)</f>
        <v>India</v>
      </c>
      <c r="H590" s="1" t="str">
        <f>VLOOKUP(InputData[[#This Row],[CUSTOMER NAME]],Country[],3,0)</f>
        <v>East</v>
      </c>
      <c r="I590" s="1" t="str">
        <f>TEXT(InputData[[#This Row],[DATE]],"mmmm")</f>
        <v>September</v>
      </c>
      <c r="J590" s="1" t="str">
        <f>TEXT(InputData[[#This Row],[DATE]],"ddd")</f>
        <v>Wed</v>
      </c>
      <c r="K590" s="14">
        <f>WEEKNUM(InputData[[#This Row],[DATE]])</f>
        <v>37</v>
      </c>
      <c r="N590"/>
      <c r="R590" s="3" t="s">
        <v>48</v>
      </c>
      <c r="S590" s="1" t="str">
        <f t="shared" si="18"/>
        <v>Thornwell Trading</v>
      </c>
      <c r="V590"/>
      <c r="Z590" s="11" t="s">
        <v>19</v>
      </c>
      <c r="AA590" s="1" t="str">
        <f t="shared" si="19"/>
        <v>Anchor Bolt M10</v>
      </c>
      <c r="AF590"/>
    </row>
    <row r="591" spans="1:32" x14ac:dyDescent="0.3">
      <c r="A591" s="10">
        <v>44448</v>
      </c>
      <c r="B591" s="3" t="s">
        <v>161</v>
      </c>
      <c r="C591" s="11" t="s">
        <v>231</v>
      </c>
      <c r="D591" s="12">
        <v>80.94</v>
      </c>
      <c r="E591" s="1">
        <v>3</v>
      </c>
      <c r="F591" s="13">
        <f>InputData[[#This Row],[QUANTITY]]*InputData[[#This Row],[UNIT PRICE (R)]]</f>
        <v>242.82</v>
      </c>
      <c r="G591" s="1" t="str">
        <f>VLOOKUP(InputData[[#This Row],[CUSTOMER NAME]],Country[],2,0)</f>
        <v>India</v>
      </c>
      <c r="H591" s="1" t="str">
        <f>VLOOKUP(InputData[[#This Row],[CUSTOMER NAME]],Country[],3,0)</f>
        <v>Central</v>
      </c>
      <c r="I591" s="1" t="str">
        <f>TEXT(InputData[[#This Row],[DATE]],"mmmm")</f>
        <v>September</v>
      </c>
      <c r="J591" s="1" t="str">
        <f>TEXT(InputData[[#This Row],[DATE]],"ddd")</f>
        <v>Thu</v>
      </c>
      <c r="K591" s="14">
        <f>WEEKNUM(InputData[[#This Row],[DATE]])</f>
        <v>37</v>
      </c>
      <c r="N591"/>
      <c r="R591" s="3" t="s">
        <v>69</v>
      </c>
      <c r="S591" s="1" t="str">
        <f t="shared" si="18"/>
        <v>Southcote Industries</v>
      </c>
      <c r="V591"/>
      <c r="Z591" s="11" t="s">
        <v>12</v>
      </c>
      <c r="AA591" s="1" t="str">
        <f t="shared" si="19"/>
        <v>Drywall Screw 30mm</v>
      </c>
      <c r="AF591"/>
    </row>
    <row r="592" spans="1:32" x14ac:dyDescent="0.3">
      <c r="A592" s="10">
        <v>44448</v>
      </c>
      <c r="B592" s="3" t="s">
        <v>162</v>
      </c>
      <c r="C592" s="11" t="s">
        <v>269</v>
      </c>
      <c r="D592" s="12">
        <v>173.88</v>
      </c>
      <c r="E592" s="1">
        <v>9</v>
      </c>
      <c r="F592" s="13">
        <f>InputData[[#This Row],[QUANTITY]]*InputData[[#This Row],[UNIT PRICE (R)]]</f>
        <v>1564.92</v>
      </c>
      <c r="G592" s="1" t="str">
        <f>VLOOKUP(InputData[[#This Row],[CUSTOMER NAME]],Country[],2,0)</f>
        <v>United Kingdom</v>
      </c>
      <c r="H592" s="1" t="str">
        <f>VLOOKUP(InputData[[#This Row],[CUSTOMER NAME]],Country[],3,0)</f>
        <v>Export</v>
      </c>
      <c r="I592" s="1" t="str">
        <f>TEXT(InputData[[#This Row],[DATE]],"mmmm")</f>
        <v>September</v>
      </c>
      <c r="J592" s="1" t="str">
        <f>TEXT(InputData[[#This Row],[DATE]],"ddd")</f>
        <v>Thu</v>
      </c>
      <c r="K592" s="14">
        <f>WEEKNUM(InputData[[#This Row],[DATE]])</f>
        <v>37</v>
      </c>
      <c r="N592"/>
      <c r="R592" s="3" t="s">
        <v>66</v>
      </c>
      <c r="S592" s="1" t="str">
        <f t="shared" si="18"/>
        <v>Whitfield Distributors</v>
      </c>
      <c r="V592"/>
      <c r="Z592" s="11" t="s">
        <v>3</v>
      </c>
      <c r="AA592" s="1" t="str">
        <f t="shared" si="19"/>
        <v>Hex Bolt M12</v>
      </c>
      <c r="AF592"/>
    </row>
    <row r="593" spans="1:32" x14ac:dyDescent="0.3">
      <c r="A593" s="10">
        <v>44448</v>
      </c>
      <c r="B593" s="3" t="s">
        <v>168</v>
      </c>
      <c r="C593" s="11" t="s">
        <v>272</v>
      </c>
      <c r="D593" s="12">
        <v>82.08</v>
      </c>
      <c r="E593" s="1">
        <v>4</v>
      </c>
      <c r="F593" s="13">
        <f>InputData[[#This Row],[QUANTITY]]*InputData[[#This Row],[UNIT PRICE (R)]]</f>
        <v>328.32</v>
      </c>
      <c r="G593" s="1" t="str">
        <f>VLOOKUP(InputData[[#This Row],[CUSTOMER NAME]],Country[],2,0)</f>
        <v>India</v>
      </c>
      <c r="H593" s="1" t="str">
        <f>VLOOKUP(InputData[[#This Row],[CUSTOMER NAME]],Country[],3,0)</f>
        <v>Northeast</v>
      </c>
      <c r="I593" s="1" t="str">
        <f>TEXT(InputData[[#This Row],[DATE]],"mmmm")</f>
        <v>September</v>
      </c>
      <c r="J593" s="1" t="str">
        <f>TEXT(InputData[[#This Row],[DATE]],"ddd")</f>
        <v>Thu</v>
      </c>
      <c r="K593" s="14">
        <f>WEEKNUM(InputData[[#This Row],[DATE]])</f>
        <v>37</v>
      </c>
      <c r="N593"/>
      <c r="R593" s="3" t="s">
        <v>67</v>
      </c>
      <c r="S593" s="1" t="str">
        <f t="shared" si="18"/>
        <v>Ironbridge Trading Co.</v>
      </c>
      <c r="V593"/>
      <c r="Z593" s="11" t="s">
        <v>41</v>
      </c>
      <c r="AA593" s="1" t="str">
        <f t="shared" si="19"/>
        <v>PVC Elbow 20mm</v>
      </c>
      <c r="AF593"/>
    </row>
    <row r="594" spans="1:32" x14ac:dyDescent="0.3">
      <c r="A594" s="10">
        <v>44448</v>
      </c>
      <c r="B594" s="3" t="s">
        <v>171</v>
      </c>
      <c r="C594" s="11" t="s">
        <v>239</v>
      </c>
      <c r="D594" s="12">
        <v>48.4</v>
      </c>
      <c r="E594" s="1">
        <v>26</v>
      </c>
      <c r="F594" s="13">
        <f>InputData[[#This Row],[QUANTITY]]*InputData[[#This Row],[UNIT PRICE (R)]]</f>
        <v>1258.3999999999999</v>
      </c>
      <c r="G594" s="1" t="str">
        <f>VLOOKUP(InputData[[#This Row],[CUSTOMER NAME]],Country[],2,0)</f>
        <v>India</v>
      </c>
      <c r="H594" s="1" t="str">
        <f>VLOOKUP(InputData[[#This Row],[CUSTOMER NAME]],Country[],3,0)</f>
        <v>South</v>
      </c>
      <c r="I594" s="1" t="str">
        <f>TEXT(InputData[[#This Row],[DATE]],"mmmm")</f>
        <v>September</v>
      </c>
      <c r="J594" s="1" t="str">
        <f>TEXT(InputData[[#This Row],[DATE]],"ddd")</f>
        <v>Thu</v>
      </c>
      <c r="K594" s="14">
        <f>WEEKNUM(InputData[[#This Row],[DATE]])</f>
        <v>37</v>
      </c>
      <c r="N594"/>
      <c r="R594" s="3" t="s">
        <v>73</v>
      </c>
      <c r="S594" s="1" t="str">
        <f t="shared" si="18"/>
        <v>Ashworth Trading Group</v>
      </c>
      <c r="V594"/>
      <c r="Z594" s="11" t="s">
        <v>44</v>
      </c>
      <c r="AA594" s="1" t="str">
        <f t="shared" si="19"/>
        <v>Brass Elbow Joint 20mm</v>
      </c>
      <c r="AF594"/>
    </row>
    <row r="595" spans="1:32" x14ac:dyDescent="0.3">
      <c r="A595" s="10">
        <v>44449</v>
      </c>
      <c r="B595" s="3" t="s">
        <v>148</v>
      </c>
      <c r="C595" s="11" t="s">
        <v>266</v>
      </c>
      <c r="D595" s="12">
        <v>79.92</v>
      </c>
      <c r="E595" s="1">
        <v>4</v>
      </c>
      <c r="F595" s="13">
        <f>InputData[[#This Row],[QUANTITY]]*InputData[[#This Row],[UNIT PRICE (R)]]</f>
        <v>319.68</v>
      </c>
      <c r="G595" s="1" t="str">
        <f>VLOOKUP(InputData[[#This Row],[CUSTOMER NAME]],Country[],2,0)</f>
        <v>Pakistan</v>
      </c>
      <c r="H595" s="1" t="str">
        <f>VLOOKUP(InputData[[#This Row],[CUSTOMER NAME]],Country[],3,0)</f>
        <v>Export</v>
      </c>
      <c r="I595" s="1" t="str">
        <f>TEXT(InputData[[#This Row],[DATE]],"mmmm")</f>
        <v>September</v>
      </c>
      <c r="J595" s="1" t="str">
        <f>TEXT(InputData[[#This Row],[DATE]],"ddd")</f>
        <v>Fri</v>
      </c>
      <c r="K595" s="14">
        <f>WEEKNUM(InputData[[#This Row],[DATE]])</f>
        <v>37</v>
      </c>
      <c r="N595"/>
      <c r="R595" s="3" t="s">
        <v>76</v>
      </c>
      <c r="S595" s="1" t="str">
        <f t="shared" si="18"/>
        <v>Overton Retail Solutions</v>
      </c>
      <c r="V595"/>
      <c r="Z595" s="11" t="s">
        <v>11</v>
      </c>
      <c r="AA595" s="1" t="str">
        <f t="shared" si="19"/>
        <v>Wood Screw 40mm</v>
      </c>
      <c r="AF595"/>
    </row>
    <row r="596" spans="1:32" x14ac:dyDescent="0.3">
      <c r="A596" s="10">
        <v>44449</v>
      </c>
      <c r="B596" s="3" t="s">
        <v>163</v>
      </c>
      <c r="C596" s="11" t="s">
        <v>229</v>
      </c>
      <c r="D596" s="12">
        <v>103.88</v>
      </c>
      <c r="E596" s="1">
        <v>9</v>
      </c>
      <c r="F596" s="13">
        <f>InputData[[#This Row],[QUANTITY]]*InputData[[#This Row],[UNIT PRICE (R)]]</f>
        <v>934.92</v>
      </c>
      <c r="G596" s="1" t="str">
        <f>VLOOKUP(InputData[[#This Row],[CUSTOMER NAME]],Country[],2,0)</f>
        <v>South Africa</v>
      </c>
      <c r="H596" s="1" t="str">
        <f>VLOOKUP(InputData[[#This Row],[CUSTOMER NAME]],Country[],3,0)</f>
        <v>Export</v>
      </c>
      <c r="I596" s="1" t="str">
        <f>TEXT(InputData[[#This Row],[DATE]],"mmmm")</f>
        <v>September</v>
      </c>
      <c r="J596" s="1" t="str">
        <f>TEXT(InputData[[#This Row],[DATE]],"ddd")</f>
        <v>Fri</v>
      </c>
      <c r="K596" s="14">
        <f>WEEKNUM(InputData[[#This Row],[DATE]])</f>
        <v>37</v>
      </c>
      <c r="N596"/>
      <c r="R596" s="3" t="s">
        <v>53</v>
      </c>
      <c r="S596" s="1" t="str">
        <f t="shared" si="18"/>
        <v>Vantage Point Retailers</v>
      </c>
      <c r="V596"/>
      <c r="Z596" s="11" t="s">
        <v>38</v>
      </c>
      <c r="AA596" s="1" t="str">
        <f t="shared" si="19"/>
        <v>Cable Tie 300mm</v>
      </c>
      <c r="AF596"/>
    </row>
    <row r="597" spans="1:32" x14ac:dyDescent="0.3">
      <c r="A597" s="10">
        <v>44449</v>
      </c>
      <c r="B597" s="3" t="s">
        <v>165</v>
      </c>
      <c r="C597" s="11" t="s">
        <v>258</v>
      </c>
      <c r="D597" s="12">
        <v>201.28</v>
      </c>
      <c r="E597" s="1">
        <v>6</v>
      </c>
      <c r="F597" s="13">
        <f>InputData[[#This Row],[QUANTITY]]*InputData[[#This Row],[UNIT PRICE (R)]]</f>
        <v>1207.68</v>
      </c>
      <c r="G597" s="1" t="str">
        <f>VLOOKUP(InputData[[#This Row],[CUSTOMER NAME]],Country[],2,0)</f>
        <v>India</v>
      </c>
      <c r="H597" s="1" t="str">
        <f>VLOOKUP(InputData[[#This Row],[CUSTOMER NAME]],Country[],3,0)</f>
        <v>Western</v>
      </c>
      <c r="I597" s="1" t="str">
        <f>TEXT(InputData[[#This Row],[DATE]],"mmmm")</f>
        <v>September</v>
      </c>
      <c r="J597" s="1" t="str">
        <f>TEXT(InputData[[#This Row],[DATE]],"ddd")</f>
        <v>Fri</v>
      </c>
      <c r="K597" s="14">
        <f>WEEKNUM(InputData[[#This Row],[DATE]])</f>
        <v>37</v>
      </c>
      <c r="N597"/>
      <c r="R597" s="3" t="s">
        <v>68</v>
      </c>
      <c r="S597" s="1" t="str">
        <f t="shared" si="18"/>
        <v>Delacroix Wholesale</v>
      </c>
      <c r="V597"/>
      <c r="Z597" s="11" t="s">
        <v>1</v>
      </c>
      <c r="AA597" s="1" t="str">
        <f t="shared" si="19"/>
        <v>Hex Bolt M8</v>
      </c>
      <c r="AF597"/>
    </row>
    <row r="598" spans="1:32" x14ac:dyDescent="0.3">
      <c r="A598" s="10">
        <v>44449</v>
      </c>
      <c r="B598" s="3" t="s">
        <v>165</v>
      </c>
      <c r="C598" s="11" t="s">
        <v>254</v>
      </c>
      <c r="D598" s="12">
        <v>24.66</v>
      </c>
      <c r="E598" s="1">
        <v>2</v>
      </c>
      <c r="F598" s="13">
        <f>InputData[[#This Row],[QUANTITY]]*InputData[[#This Row],[UNIT PRICE (R)]]</f>
        <v>49.32</v>
      </c>
      <c r="G598" s="1" t="str">
        <f>VLOOKUP(InputData[[#This Row],[CUSTOMER NAME]],Country[],2,0)</f>
        <v>India</v>
      </c>
      <c r="H598" s="1" t="str">
        <f>VLOOKUP(InputData[[#This Row],[CUSTOMER NAME]],Country[],3,0)</f>
        <v>Western</v>
      </c>
      <c r="I598" s="1" t="str">
        <f>TEXT(InputData[[#This Row],[DATE]],"mmmm")</f>
        <v>September</v>
      </c>
      <c r="J598" s="1" t="str">
        <f>TEXT(InputData[[#This Row],[DATE]],"ddd")</f>
        <v>Fri</v>
      </c>
      <c r="K598" s="14">
        <f>WEEKNUM(InputData[[#This Row],[DATE]])</f>
        <v>37</v>
      </c>
      <c r="N598"/>
      <c r="R598" s="3" t="s">
        <v>70</v>
      </c>
      <c r="S598" s="1" t="str">
        <f t="shared" si="18"/>
        <v>Larkspur Retailers</v>
      </c>
      <c r="V598"/>
      <c r="Z598" s="11" t="s">
        <v>30</v>
      </c>
      <c r="AA598" s="1" t="str">
        <f t="shared" si="19"/>
        <v>Door Latch Set</v>
      </c>
      <c r="AF598"/>
    </row>
    <row r="599" spans="1:32" x14ac:dyDescent="0.3">
      <c r="A599" s="10">
        <v>44449</v>
      </c>
      <c r="B599" s="3" t="s">
        <v>182</v>
      </c>
      <c r="C599" s="11" t="s">
        <v>263</v>
      </c>
      <c r="D599" s="12">
        <v>6.7</v>
      </c>
      <c r="E599" s="1">
        <v>15</v>
      </c>
      <c r="F599" s="13">
        <f>InputData[[#This Row],[QUANTITY]]*InputData[[#This Row],[UNIT PRICE (R)]]</f>
        <v>100.5</v>
      </c>
      <c r="G599" s="1" t="str">
        <f>VLOOKUP(InputData[[#This Row],[CUSTOMER NAME]],Country[],2,0)</f>
        <v>United States of America</v>
      </c>
      <c r="H599" s="1" t="str">
        <f>VLOOKUP(InputData[[#This Row],[CUSTOMER NAME]],Country[],3,0)</f>
        <v>Export</v>
      </c>
      <c r="I599" s="1" t="str">
        <f>TEXT(InputData[[#This Row],[DATE]],"mmmm")</f>
        <v>September</v>
      </c>
      <c r="J599" s="1" t="str">
        <f>TEXT(InputData[[#This Row],[DATE]],"ddd")</f>
        <v>Fri</v>
      </c>
      <c r="K599" s="14">
        <f>WEEKNUM(InputData[[#This Row],[DATE]])</f>
        <v>37</v>
      </c>
      <c r="N599"/>
      <c r="R599" s="3" t="s">
        <v>70</v>
      </c>
      <c r="S599" s="1" t="str">
        <f t="shared" si="18"/>
        <v>Larkspur Retailers</v>
      </c>
      <c r="V599"/>
      <c r="Z599" s="11" t="s">
        <v>26</v>
      </c>
      <c r="AA599" s="1" t="str">
        <f t="shared" si="19"/>
        <v>Chain Link 6mm</v>
      </c>
      <c r="AF599"/>
    </row>
    <row r="600" spans="1:32" x14ac:dyDescent="0.3">
      <c r="A600" s="10">
        <v>44450</v>
      </c>
      <c r="B600" s="3" t="s">
        <v>152</v>
      </c>
      <c r="C600" s="11" t="s">
        <v>229</v>
      </c>
      <c r="D600" s="12">
        <v>103.88</v>
      </c>
      <c r="E600" s="1">
        <v>6</v>
      </c>
      <c r="F600" s="13">
        <f>InputData[[#This Row],[QUANTITY]]*InputData[[#This Row],[UNIT PRICE (R)]]</f>
        <v>623.28</v>
      </c>
      <c r="G600" s="1" t="str">
        <f>VLOOKUP(InputData[[#This Row],[CUSTOMER NAME]],Country[],2,0)</f>
        <v>India</v>
      </c>
      <c r="H600" s="1" t="str">
        <f>VLOOKUP(InputData[[#This Row],[CUSTOMER NAME]],Country[],3,0)</f>
        <v>South</v>
      </c>
      <c r="I600" s="1" t="str">
        <f>TEXT(InputData[[#This Row],[DATE]],"mmmm")</f>
        <v>September</v>
      </c>
      <c r="J600" s="1" t="str">
        <f>TEXT(InputData[[#This Row],[DATE]],"ddd")</f>
        <v>Sat</v>
      </c>
      <c r="K600" s="14">
        <f>WEEKNUM(InputData[[#This Row],[DATE]])</f>
        <v>37</v>
      </c>
      <c r="N600"/>
      <c r="R600" s="3" t="s">
        <v>104</v>
      </c>
      <c r="S600" s="1" t="str">
        <f t="shared" si="18"/>
        <v>Radcliffe Mercantile</v>
      </c>
      <c r="V600"/>
      <c r="Z600" s="11" t="s">
        <v>35</v>
      </c>
      <c r="AA600" s="1" t="str">
        <f t="shared" si="19"/>
        <v>T-Bracket 100mm</v>
      </c>
      <c r="AF600"/>
    </row>
    <row r="601" spans="1:32" x14ac:dyDescent="0.3">
      <c r="A601" s="10">
        <v>44452</v>
      </c>
      <c r="B601" s="3" t="s">
        <v>181</v>
      </c>
      <c r="C601" s="11" t="s">
        <v>269</v>
      </c>
      <c r="D601" s="12">
        <v>173.88</v>
      </c>
      <c r="E601" s="1">
        <v>7</v>
      </c>
      <c r="F601" s="13">
        <f>InputData[[#This Row],[QUANTITY]]*InputData[[#This Row],[UNIT PRICE (R)]]</f>
        <v>1217.1599999999999</v>
      </c>
      <c r="G601" s="1" t="str">
        <f>VLOOKUP(InputData[[#This Row],[CUSTOMER NAME]],Country[],2,0)</f>
        <v>Germany</v>
      </c>
      <c r="H601" s="1" t="str">
        <f>VLOOKUP(InputData[[#This Row],[CUSTOMER NAME]],Country[],3,0)</f>
        <v>Export</v>
      </c>
      <c r="I601" s="1" t="str">
        <f>TEXT(InputData[[#This Row],[DATE]],"mmmm")</f>
        <v>September</v>
      </c>
      <c r="J601" s="1" t="str">
        <f>TEXT(InputData[[#This Row],[DATE]],"ddd")</f>
        <v>Mon</v>
      </c>
      <c r="K601" s="14">
        <f>WEEKNUM(InputData[[#This Row],[DATE]])</f>
        <v>38</v>
      </c>
      <c r="N601"/>
      <c r="R601" s="3" t="s">
        <v>57</v>
      </c>
      <c r="S601" s="1" t="str">
        <f t="shared" si="18"/>
        <v>Ashcombe Traders</v>
      </c>
      <c r="V601"/>
      <c r="Z601" s="11" t="s">
        <v>1</v>
      </c>
      <c r="AA601" s="1" t="str">
        <f t="shared" si="19"/>
        <v>Hex Bolt M8</v>
      </c>
      <c r="AF601"/>
    </row>
    <row r="602" spans="1:32" x14ac:dyDescent="0.3">
      <c r="A602" s="10">
        <v>44453</v>
      </c>
      <c r="B602" s="3" t="s">
        <v>152</v>
      </c>
      <c r="C602" s="11" t="s">
        <v>257</v>
      </c>
      <c r="D602" s="12">
        <v>53.11</v>
      </c>
      <c r="E602" s="1">
        <v>3</v>
      </c>
      <c r="F602" s="13">
        <f>InputData[[#This Row],[QUANTITY]]*InputData[[#This Row],[UNIT PRICE (R)]]</f>
        <v>159.32999999999998</v>
      </c>
      <c r="G602" s="1" t="str">
        <f>VLOOKUP(InputData[[#This Row],[CUSTOMER NAME]],Country[],2,0)</f>
        <v>India</v>
      </c>
      <c r="H602" s="1" t="str">
        <f>VLOOKUP(InputData[[#This Row],[CUSTOMER NAME]],Country[],3,0)</f>
        <v>South</v>
      </c>
      <c r="I602" s="1" t="str">
        <f>TEXT(InputData[[#This Row],[DATE]],"mmmm")</f>
        <v>September</v>
      </c>
      <c r="J602" s="1" t="str">
        <f>TEXT(InputData[[#This Row],[DATE]],"ddd")</f>
        <v>Tue</v>
      </c>
      <c r="K602" s="14">
        <f>WEEKNUM(InputData[[#This Row],[DATE]])</f>
        <v>38</v>
      </c>
      <c r="N602"/>
      <c r="R602" s="3" t="s">
        <v>103</v>
      </c>
      <c r="S602" s="1" t="str">
        <f t="shared" si="18"/>
        <v>Vesterly Traders</v>
      </c>
      <c r="V602"/>
      <c r="Z602" s="11" t="s">
        <v>41</v>
      </c>
      <c r="AA602" s="1" t="str">
        <f t="shared" si="19"/>
        <v>PVC Elbow 20mm</v>
      </c>
      <c r="AF602"/>
    </row>
    <row r="603" spans="1:32" x14ac:dyDescent="0.3">
      <c r="A603" s="10">
        <v>44453</v>
      </c>
      <c r="B603" s="3" t="s">
        <v>164</v>
      </c>
      <c r="C603" s="11" t="s">
        <v>254</v>
      </c>
      <c r="D603" s="12">
        <v>24.66</v>
      </c>
      <c r="E603" s="1">
        <v>34</v>
      </c>
      <c r="F603" s="13">
        <f>InputData[[#This Row],[QUANTITY]]*InputData[[#This Row],[UNIT PRICE (R)]]</f>
        <v>838.44</v>
      </c>
      <c r="G603" s="1" t="str">
        <f>VLOOKUP(InputData[[#This Row],[CUSTOMER NAME]],Country[],2,0)</f>
        <v>India</v>
      </c>
      <c r="H603" s="1" t="str">
        <f>VLOOKUP(InputData[[#This Row],[CUSTOMER NAME]],Country[],3,0)</f>
        <v>East</v>
      </c>
      <c r="I603" s="1" t="str">
        <f>TEXT(InputData[[#This Row],[DATE]],"mmmm")</f>
        <v>September</v>
      </c>
      <c r="J603" s="1" t="str">
        <f>TEXT(InputData[[#This Row],[DATE]],"ddd")</f>
        <v>Tue</v>
      </c>
      <c r="K603" s="14">
        <f>WEEKNUM(InputData[[#This Row],[DATE]])</f>
        <v>38</v>
      </c>
      <c r="N603"/>
      <c r="R603" s="3" t="s">
        <v>57</v>
      </c>
      <c r="S603" s="1" t="str">
        <f t="shared" si="18"/>
        <v>Ashcombe Traders</v>
      </c>
      <c r="V603"/>
      <c r="Z603" s="11" t="s">
        <v>29</v>
      </c>
      <c r="AA603" s="1" t="str">
        <f t="shared" si="19"/>
        <v>Butt Hinge 100mm</v>
      </c>
      <c r="AF603"/>
    </row>
    <row r="604" spans="1:32" x14ac:dyDescent="0.3">
      <c r="A604" s="10">
        <v>44453</v>
      </c>
      <c r="B604" s="3" t="s">
        <v>168</v>
      </c>
      <c r="C604" s="11" t="s">
        <v>239</v>
      </c>
      <c r="D604" s="12">
        <v>48.4</v>
      </c>
      <c r="E604" s="1">
        <v>27</v>
      </c>
      <c r="F604" s="13">
        <f>InputData[[#This Row],[QUANTITY]]*InputData[[#This Row],[UNIT PRICE (R)]]</f>
        <v>1306.8</v>
      </c>
      <c r="G604" s="1" t="str">
        <f>VLOOKUP(InputData[[#This Row],[CUSTOMER NAME]],Country[],2,0)</f>
        <v>India</v>
      </c>
      <c r="H604" s="1" t="str">
        <f>VLOOKUP(InputData[[#This Row],[CUSTOMER NAME]],Country[],3,0)</f>
        <v>Northeast</v>
      </c>
      <c r="I604" s="1" t="str">
        <f>TEXT(InputData[[#This Row],[DATE]],"mmmm")</f>
        <v>September</v>
      </c>
      <c r="J604" s="1" t="str">
        <f>TEXT(InputData[[#This Row],[DATE]],"ddd")</f>
        <v>Tue</v>
      </c>
      <c r="K604" s="14">
        <f>WEEKNUM(InputData[[#This Row],[DATE]])</f>
        <v>38</v>
      </c>
      <c r="N604"/>
      <c r="R604" s="3" t="s">
        <v>69</v>
      </c>
      <c r="S604" s="1" t="str">
        <f t="shared" si="18"/>
        <v>Southcote Industries</v>
      </c>
      <c r="V604"/>
      <c r="Z604" s="11" t="s">
        <v>26</v>
      </c>
      <c r="AA604" s="1" t="str">
        <f t="shared" si="19"/>
        <v>Chain Link 6mm</v>
      </c>
      <c r="AF604"/>
    </row>
    <row r="605" spans="1:32" x14ac:dyDescent="0.3">
      <c r="A605" s="10">
        <v>44454</v>
      </c>
      <c r="B605" s="3" t="s">
        <v>146</v>
      </c>
      <c r="C605" s="11" t="s">
        <v>266</v>
      </c>
      <c r="D605" s="12">
        <v>79.92</v>
      </c>
      <c r="E605" s="1">
        <v>3</v>
      </c>
      <c r="F605" s="13">
        <f>InputData[[#This Row],[QUANTITY]]*InputData[[#This Row],[UNIT PRICE (R)]]</f>
        <v>239.76</v>
      </c>
      <c r="G605" s="1" t="str">
        <f>VLOOKUP(InputData[[#This Row],[CUSTOMER NAME]],Country[],2,0)</f>
        <v>Saudi Arabia</v>
      </c>
      <c r="H605" s="1" t="str">
        <f>VLOOKUP(InputData[[#This Row],[CUSTOMER NAME]],Country[],3,0)</f>
        <v>Export</v>
      </c>
      <c r="I605" s="1" t="str">
        <f>TEXT(InputData[[#This Row],[DATE]],"mmmm")</f>
        <v>September</v>
      </c>
      <c r="J605" s="1" t="str">
        <f>TEXT(InputData[[#This Row],[DATE]],"ddd")</f>
        <v>Wed</v>
      </c>
      <c r="K605" s="14">
        <f>WEEKNUM(InputData[[#This Row],[DATE]])</f>
        <v>38</v>
      </c>
      <c r="N605"/>
      <c r="R605" s="3" t="s">
        <v>73</v>
      </c>
      <c r="S605" s="1" t="str">
        <f t="shared" si="18"/>
        <v>Ashworth Trading Group</v>
      </c>
      <c r="V605"/>
      <c r="Z605" s="11" t="s">
        <v>11</v>
      </c>
      <c r="AA605" s="1" t="str">
        <f t="shared" si="19"/>
        <v>Wood Screw 40mm</v>
      </c>
      <c r="AF605"/>
    </row>
    <row r="606" spans="1:32" x14ac:dyDescent="0.3">
      <c r="A606" s="10">
        <v>44454</v>
      </c>
      <c r="B606" s="3" t="s">
        <v>150</v>
      </c>
      <c r="C606" s="11" t="s">
        <v>270</v>
      </c>
      <c r="D606" s="12">
        <v>162</v>
      </c>
      <c r="E606" s="1">
        <v>14</v>
      </c>
      <c r="F606" s="13">
        <f>InputData[[#This Row],[QUANTITY]]*InputData[[#This Row],[UNIT PRICE (R)]]</f>
        <v>2268</v>
      </c>
      <c r="G606" s="1" t="str">
        <f>VLOOKUP(InputData[[#This Row],[CUSTOMER NAME]],Country[],2,0)</f>
        <v>United Kingdom</v>
      </c>
      <c r="H606" s="1" t="str">
        <f>VLOOKUP(InputData[[#This Row],[CUSTOMER NAME]],Country[],3,0)</f>
        <v>Export</v>
      </c>
      <c r="I606" s="1" t="str">
        <f>TEXT(InputData[[#This Row],[DATE]],"mmmm")</f>
        <v>September</v>
      </c>
      <c r="J606" s="1" t="str">
        <f>TEXT(InputData[[#This Row],[DATE]],"ddd")</f>
        <v>Wed</v>
      </c>
      <c r="K606" s="14">
        <f>WEEKNUM(InputData[[#This Row],[DATE]])</f>
        <v>38</v>
      </c>
      <c r="N606"/>
      <c r="R606" s="3" t="s">
        <v>51</v>
      </c>
      <c r="S606" s="1" t="str">
        <f t="shared" si="18"/>
        <v>Coastal Fittings Ltd</v>
      </c>
      <c r="V606"/>
      <c r="Z606" s="11" t="s">
        <v>38</v>
      </c>
      <c r="AA606" s="1" t="str">
        <f t="shared" si="19"/>
        <v>Cable Tie 300mm</v>
      </c>
      <c r="AF606"/>
    </row>
    <row r="607" spans="1:32" x14ac:dyDescent="0.3">
      <c r="A607" s="10">
        <v>44454</v>
      </c>
      <c r="B607" s="3" t="s">
        <v>152</v>
      </c>
      <c r="C607" s="11" t="s">
        <v>270</v>
      </c>
      <c r="D607" s="12">
        <v>162</v>
      </c>
      <c r="E607" s="1">
        <v>6</v>
      </c>
      <c r="F607" s="13">
        <f>InputData[[#This Row],[QUANTITY]]*InputData[[#This Row],[UNIT PRICE (R)]]</f>
        <v>972</v>
      </c>
      <c r="G607" s="1" t="str">
        <f>VLOOKUP(InputData[[#This Row],[CUSTOMER NAME]],Country[],2,0)</f>
        <v>India</v>
      </c>
      <c r="H607" s="1" t="str">
        <f>VLOOKUP(InputData[[#This Row],[CUSTOMER NAME]],Country[],3,0)</f>
        <v>South</v>
      </c>
      <c r="I607" s="1" t="str">
        <f>TEXT(InputData[[#This Row],[DATE]],"mmmm")</f>
        <v>September</v>
      </c>
      <c r="J607" s="1" t="str">
        <f>TEXT(InputData[[#This Row],[DATE]],"ddd")</f>
        <v>Wed</v>
      </c>
      <c r="K607" s="14">
        <f>WEEKNUM(InputData[[#This Row],[DATE]])</f>
        <v>38</v>
      </c>
      <c r="N607"/>
      <c r="R607" s="3" t="s">
        <v>55</v>
      </c>
      <c r="S607" s="1" t="str">
        <f t="shared" si="18"/>
        <v>Silverline Wholesalers</v>
      </c>
      <c r="V607"/>
      <c r="Z607" s="11" t="s">
        <v>42</v>
      </c>
      <c r="AA607" s="1" t="str">
        <f t="shared" si="19"/>
        <v>PVC Coupling 25mm</v>
      </c>
      <c r="AF607"/>
    </row>
    <row r="608" spans="1:32" x14ac:dyDescent="0.3">
      <c r="A608" s="10">
        <v>44454</v>
      </c>
      <c r="B608" s="3" t="s">
        <v>159</v>
      </c>
      <c r="C608" s="11" t="s">
        <v>265</v>
      </c>
      <c r="D608" s="12">
        <v>85.76</v>
      </c>
      <c r="E608" s="1">
        <v>15</v>
      </c>
      <c r="F608" s="13">
        <f>InputData[[#This Row],[QUANTITY]]*InputData[[#This Row],[UNIT PRICE (R)]]</f>
        <v>1286.4000000000001</v>
      </c>
      <c r="G608" s="1" t="str">
        <f>VLOOKUP(InputData[[#This Row],[CUSTOMER NAME]],Country[],2,0)</f>
        <v>Saudi Arabia</v>
      </c>
      <c r="H608" s="1" t="str">
        <f>VLOOKUP(InputData[[#This Row],[CUSTOMER NAME]],Country[],3,0)</f>
        <v>Export</v>
      </c>
      <c r="I608" s="1" t="str">
        <f>TEXT(InputData[[#This Row],[DATE]],"mmmm")</f>
        <v>September</v>
      </c>
      <c r="J608" s="1" t="str">
        <f>TEXT(InputData[[#This Row],[DATE]],"ddd")</f>
        <v>Wed</v>
      </c>
      <c r="K608" s="14">
        <f>WEEKNUM(InputData[[#This Row],[DATE]])</f>
        <v>38</v>
      </c>
      <c r="N608"/>
      <c r="R608" s="3" t="s">
        <v>57</v>
      </c>
      <c r="S608" s="1" t="str">
        <f t="shared" si="18"/>
        <v>Ashcombe Traders</v>
      </c>
      <c r="V608"/>
      <c r="Z608" s="11" t="s">
        <v>42</v>
      </c>
      <c r="AA608" s="1" t="str">
        <f t="shared" si="19"/>
        <v>PVC Coupling 25mm</v>
      </c>
      <c r="AF608"/>
    </row>
    <row r="609" spans="1:32" x14ac:dyDescent="0.3">
      <c r="A609" s="10">
        <v>44455</v>
      </c>
      <c r="B609" s="3" t="s">
        <v>153</v>
      </c>
      <c r="C609" s="11" t="s">
        <v>246</v>
      </c>
      <c r="D609" s="12">
        <v>49.21</v>
      </c>
      <c r="E609" s="1">
        <v>11</v>
      </c>
      <c r="F609" s="13">
        <f>InputData[[#This Row],[QUANTITY]]*InputData[[#This Row],[UNIT PRICE (R)]]</f>
        <v>541.31000000000006</v>
      </c>
      <c r="G609" s="1" t="str">
        <f>VLOOKUP(InputData[[#This Row],[CUSTOMER NAME]],Country[],2,0)</f>
        <v>Mexico</v>
      </c>
      <c r="H609" s="1" t="str">
        <f>VLOOKUP(InputData[[#This Row],[CUSTOMER NAME]],Country[],3,0)</f>
        <v>Export</v>
      </c>
      <c r="I609" s="1" t="str">
        <f>TEXT(InputData[[#This Row],[DATE]],"mmmm")</f>
        <v>September</v>
      </c>
      <c r="J609" s="1" t="str">
        <f>TEXT(InputData[[#This Row],[DATE]],"ddd")</f>
        <v>Thu</v>
      </c>
      <c r="K609" s="14">
        <f>WEEKNUM(InputData[[#This Row],[DATE]])</f>
        <v>38</v>
      </c>
      <c r="N609"/>
      <c r="R609" s="3" t="s">
        <v>64</v>
      </c>
      <c r="S609" s="1" t="str">
        <f t="shared" si="18"/>
        <v>Ridgeway Commercial</v>
      </c>
      <c r="V609"/>
      <c r="Z609" s="11" t="s">
        <v>37</v>
      </c>
      <c r="AA609" s="1" t="str">
        <f t="shared" si="19"/>
        <v>Turnbuckle Hook M6</v>
      </c>
      <c r="AF609"/>
    </row>
    <row r="610" spans="1:32" x14ac:dyDescent="0.3">
      <c r="A610" s="10">
        <v>44456</v>
      </c>
      <c r="B610" s="3" t="s">
        <v>153</v>
      </c>
      <c r="C610" s="11" t="s">
        <v>238</v>
      </c>
      <c r="D610" s="12">
        <v>164.28</v>
      </c>
      <c r="E610" s="1">
        <v>12</v>
      </c>
      <c r="F610" s="13">
        <f>InputData[[#This Row],[QUANTITY]]*InputData[[#This Row],[UNIT PRICE (R)]]</f>
        <v>1971.3600000000001</v>
      </c>
      <c r="G610" s="1" t="str">
        <f>VLOOKUP(InputData[[#This Row],[CUSTOMER NAME]],Country[],2,0)</f>
        <v>Mexico</v>
      </c>
      <c r="H610" s="1" t="str">
        <f>VLOOKUP(InputData[[#This Row],[CUSTOMER NAME]],Country[],3,0)</f>
        <v>Export</v>
      </c>
      <c r="I610" s="1" t="str">
        <f>TEXT(InputData[[#This Row],[DATE]],"mmmm")</f>
        <v>September</v>
      </c>
      <c r="J610" s="1" t="str">
        <f>TEXT(InputData[[#This Row],[DATE]],"ddd")</f>
        <v>Fri</v>
      </c>
      <c r="K610" s="14">
        <f>WEEKNUM(InputData[[#This Row],[DATE]])</f>
        <v>38</v>
      </c>
      <c r="N610"/>
      <c r="R610" s="3" t="s">
        <v>58</v>
      </c>
      <c r="S610" s="1" t="str">
        <f t="shared" si="18"/>
        <v>Redwood Mercantile</v>
      </c>
      <c r="V610"/>
      <c r="Z610" s="11" t="s">
        <v>18</v>
      </c>
      <c r="AA610" s="1" t="str">
        <f t="shared" si="19"/>
        <v>Split Pin 5mm</v>
      </c>
      <c r="AF610"/>
    </row>
    <row r="611" spans="1:32" x14ac:dyDescent="0.3">
      <c r="A611" s="10">
        <v>44457</v>
      </c>
      <c r="B611" s="3" t="s">
        <v>151</v>
      </c>
      <c r="C611" s="11" t="s">
        <v>259</v>
      </c>
      <c r="D611" s="12">
        <v>104.16</v>
      </c>
      <c r="E611" s="1">
        <v>22</v>
      </c>
      <c r="F611" s="13">
        <f>InputData[[#This Row],[QUANTITY]]*InputData[[#This Row],[UNIT PRICE (R)]]</f>
        <v>2291.52</v>
      </c>
      <c r="G611" s="1" t="str">
        <f>VLOOKUP(InputData[[#This Row],[CUSTOMER NAME]],Country[],2,0)</f>
        <v>Russia</v>
      </c>
      <c r="H611" s="1" t="str">
        <f>VLOOKUP(InputData[[#This Row],[CUSTOMER NAME]],Country[],3,0)</f>
        <v>Export</v>
      </c>
      <c r="I611" s="1" t="str">
        <f>TEXT(InputData[[#This Row],[DATE]],"mmmm")</f>
        <v>September</v>
      </c>
      <c r="J611" s="1" t="str">
        <f>TEXT(InputData[[#This Row],[DATE]],"ddd")</f>
        <v>Sat</v>
      </c>
      <c r="K611" s="14">
        <f>WEEKNUM(InputData[[#This Row],[DATE]])</f>
        <v>38</v>
      </c>
      <c r="N611"/>
      <c r="R611" s="3" t="s">
        <v>58</v>
      </c>
      <c r="S611" s="1" t="str">
        <f t="shared" si="18"/>
        <v>Redwood Mercantile</v>
      </c>
      <c r="V611"/>
      <c r="Z611" s="11" t="s">
        <v>10</v>
      </c>
      <c r="AA611" s="1" t="str">
        <f t="shared" si="19"/>
        <v>Self-Tapping Screw 25mm</v>
      </c>
      <c r="AF611"/>
    </row>
    <row r="612" spans="1:32" x14ac:dyDescent="0.3">
      <c r="A612" s="10">
        <v>44457</v>
      </c>
      <c r="B612" s="3" t="s">
        <v>164</v>
      </c>
      <c r="C612" s="11" t="s">
        <v>254</v>
      </c>
      <c r="D612" s="12">
        <v>24.66</v>
      </c>
      <c r="E612" s="1">
        <v>14</v>
      </c>
      <c r="F612" s="13">
        <f>InputData[[#This Row],[QUANTITY]]*InputData[[#This Row],[UNIT PRICE (R)]]</f>
        <v>345.24</v>
      </c>
      <c r="G612" s="1" t="str">
        <f>VLOOKUP(InputData[[#This Row],[CUSTOMER NAME]],Country[],2,0)</f>
        <v>India</v>
      </c>
      <c r="H612" s="1" t="str">
        <f>VLOOKUP(InputData[[#This Row],[CUSTOMER NAME]],Country[],3,0)</f>
        <v>East</v>
      </c>
      <c r="I612" s="1" t="str">
        <f>TEXT(InputData[[#This Row],[DATE]],"mmmm")</f>
        <v>September</v>
      </c>
      <c r="J612" s="1" t="str">
        <f>TEXT(InputData[[#This Row],[DATE]],"ddd")</f>
        <v>Sat</v>
      </c>
      <c r="K612" s="14">
        <f>WEEKNUM(InputData[[#This Row],[DATE]])</f>
        <v>38</v>
      </c>
      <c r="N612"/>
      <c r="R612" s="3" t="s">
        <v>56</v>
      </c>
      <c r="S612" s="1" t="str">
        <f t="shared" si="18"/>
        <v>Northgate Industries</v>
      </c>
      <c r="V612"/>
      <c r="Z612" s="11" t="s">
        <v>31</v>
      </c>
      <c r="AA612" s="1" t="str">
        <f t="shared" si="19"/>
        <v>Gate Bolt 150mm</v>
      </c>
      <c r="AF612"/>
    </row>
    <row r="613" spans="1:32" x14ac:dyDescent="0.3">
      <c r="A613" s="10">
        <v>44458</v>
      </c>
      <c r="B613" s="3" t="s">
        <v>158</v>
      </c>
      <c r="C613" s="11" t="s">
        <v>261</v>
      </c>
      <c r="D613" s="12">
        <v>119.7</v>
      </c>
      <c r="E613" s="1">
        <v>8</v>
      </c>
      <c r="F613" s="13">
        <f>InputData[[#This Row],[QUANTITY]]*InputData[[#This Row],[UNIT PRICE (R)]]</f>
        <v>957.6</v>
      </c>
      <c r="G613" s="1" t="str">
        <f>VLOOKUP(InputData[[#This Row],[CUSTOMER NAME]],Country[],2,0)</f>
        <v>Russia</v>
      </c>
      <c r="H613" s="1" t="str">
        <f>VLOOKUP(InputData[[#This Row],[CUSTOMER NAME]],Country[],3,0)</f>
        <v>Export</v>
      </c>
      <c r="I613" s="1" t="str">
        <f>TEXT(InputData[[#This Row],[DATE]],"mmmm")</f>
        <v>September</v>
      </c>
      <c r="J613" s="1" t="str">
        <f>TEXT(InputData[[#This Row],[DATE]],"ddd")</f>
        <v>Sun</v>
      </c>
      <c r="K613" s="14">
        <f>WEEKNUM(InputData[[#This Row],[DATE]])</f>
        <v>39</v>
      </c>
      <c r="N613"/>
      <c r="R613" s="3" t="s">
        <v>69</v>
      </c>
      <c r="S613" s="1" t="str">
        <f t="shared" si="18"/>
        <v>Southcote Industries</v>
      </c>
      <c r="V613"/>
      <c r="Z613" s="11" t="s">
        <v>26</v>
      </c>
      <c r="AA613" s="1" t="str">
        <f t="shared" si="19"/>
        <v>Chain Link 6mm</v>
      </c>
      <c r="AF613"/>
    </row>
    <row r="614" spans="1:32" x14ac:dyDescent="0.3">
      <c r="A614" s="10">
        <v>44459</v>
      </c>
      <c r="B614" s="3" t="s">
        <v>144</v>
      </c>
      <c r="C614" s="11" t="s">
        <v>261</v>
      </c>
      <c r="D614" s="12">
        <v>119.7</v>
      </c>
      <c r="E614" s="1">
        <v>6</v>
      </c>
      <c r="F614" s="13">
        <f>InputData[[#This Row],[QUANTITY]]*InputData[[#This Row],[UNIT PRICE (R)]]</f>
        <v>718.2</v>
      </c>
      <c r="G614" s="1" t="str">
        <f>VLOOKUP(InputData[[#This Row],[CUSTOMER NAME]],Country[],2,0)</f>
        <v>Bangladesh</v>
      </c>
      <c r="H614" s="1" t="str">
        <f>VLOOKUP(InputData[[#This Row],[CUSTOMER NAME]],Country[],3,0)</f>
        <v>Export</v>
      </c>
      <c r="I614" s="1" t="str">
        <f>TEXT(InputData[[#This Row],[DATE]],"mmmm")</f>
        <v>September</v>
      </c>
      <c r="J614" s="1" t="str">
        <f>TEXT(InputData[[#This Row],[DATE]],"ddd")</f>
        <v>Mon</v>
      </c>
      <c r="K614" s="14">
        <f>WEEKNUM(InputData[[#This Row],[DATE]])</f>
        <v>39</v>
      </c>
      <c r="N614"/>
      <c r="R614" s="3" t="s">
        <v>63</v>
      </c>
      <c r="S614" s="1" t="str">
        <f t="shared" si="18"/>
        <v>Ovenden &amp; Sons</v>
      </c>
      <c r="V614"/>
      <c r="Z614" s="11" t="s">
        <v>33</v>
      </c>
      <c r="AA614" s="1" t="str">
        <f t="shared" si="19"/>
        <v>Shelf Bracket 200mm</v>
      </c>
      <c r="AF614"/>
    </row>
    <row r="615" spans="1:32" x14ac:dyDescent="0.3">
      <c r="A615" s="10">
        <v>44459</v>
      </c>
      <c r="B615" s="3" t="s">
        <v>154</v>
      </c>
      <c r="C615" s="11" t="s">
        <v>263</v>
      </c>
      <c r="D615" s="12">
        <v>6.7</v>
      </c>
      <c r="E615" s="1">
        <v>32</v>
      </c>
      <c r="F615" s="13">
        <f>InputData[[#This Row],[QUANTITY]]*InputData[[#This Row],[UNIT PRICE (R)]]</f>
        <v>214.4</v>
      </c>
      <c r="G615" s="1" t="str">
        <f>VLOOKUP(InputData[[#This Row],[CUSTOMER NAME]],Country[],2,0)</f>
        <v>India</v>
      </c>
      <c r="H615" s="1" t="str">
        <f>VLOOKUP(InputData[[#This Row],[CUSTOMER NAME]],Country[],3,0)</f>
        <v>Central</v>
      </c>
      <c r="I615" s="1" t="str">
        <f>TEXT(InputData[[#This Row],[DATE]],"mmmm")</f>
        <v>September</v>
      </c>
      <c r="J615" s="1" t="str">
        <f>TEXT(InputData[[#This Row],[DATE]],"ddd")</f>
        <v>Mon</v>
      </c>
      <c r="K615" s="14">
        <f>WEEKNUM(InputData[[#This Row],[DATE]])</f>
        <v>39</v>
      </c>
      <c r="N615"/>
      <c r="R615" s="3" t="s">
        <v>49</v>
      </c>
      <c r="S615" s="1" t="str">
        <f t="shared" si="18"/>
        <v>Baxter &amp; Kline Supplies</v>
      </c>
      <c r="V615"/>
      <c r="Z615" s="11" t="s">
        <v>33</v>
      </c>
      <c r="AA615" s="1" t="str">
        <f t="shared" si="19"/>
        <v>Shelf Bracket 200mm</v>
      </c>
      <c r="AF615"/>
    </row>
    <row r="616" spans="1:32" x14ac:dyDescent="0.3">
      <c r="A616" s="10">
        <v>44459</v>
      </c>
      <c r="B616" s="3" t="s">
        <v>168</v>
      </c>
      <c r="C616" s="11" t="s">
        <v>229</v>
      </c>
      <c r="D616" s="12">
        <v>103.88</v>
      </c>
      <c r="E616" s="1">
        <v>10</v>
      </c>
      <c r="F616" s="13">
        <f>InputData[[#This Row],[QUANTITY]]*InputData[[#This Row],[UNIT PRICE (R)]]</f>
        <v>1038.8</v>
      </c>
      <c r="G616" s="1" t="str">
        <f>VLOOKUP(InputData[[#This Row],[CUSTOMER NAME]],Country[],2,0)</f>
        <v>India</v>
      </c>
      <c r="H616" s="1" t="str">
        <f>VLOOKUP(InputData[[#This Row],[CUSTOMER NAME]],Country[],3,0)</f>
        <v>Northeast</v>
      </c>
      <c r="I616" s="1" t="str">
        <f>TEXT(InputData[[#This Row],[DATE]],"mmmm")</f>
        <v>September</v>
      </c>
      <c r="J616" s="1" t="str">
        <f>TEXT(InputData[[#This Row],[DATE]],"ddd")</f>
        <v>Mon</v>
      </c>
      <c r="K616" s="14">
        <f>WEEKNUM(InputData[[#This Row],[DATE]])</f>
        <v>39</v>
      </c>
      <c r="N616"/>
      <c r="R616" s="3" t="s">
        <v>59</v>
      </c>
      <c r="S616" s="1" t="str">
        <f t="shared" si="18"/>
        <v>Bellview Enterprises</v>
      </c>
      <c r="V616"/>
      <c r="Z616" s="11" t="s">
        <v>35</v>
      </c>
      <c r="AA616" s="1" t="str">
        <f t="shared" si="19"/>
        <v>T-Bracket 100mm</v>
      </c>
      <c r="AF616"/>
    </row>
    <row r="617" spans="1:32" x14ac:dyDescent="0.3">
      <c r="A617" s="10">
        <v>44460</v>
      </c>
      <c r="B617" s="3" t="s">
        <v>151</v>
      </c>
      <c r="C617" s="11" t="s">
        <v>264</v>
      </c>
      <c r="D617" s="12">
        <v>96.3</v>
      </c>
      <c r="E617" s="1">
        <v>35</v>
      </c>
      <c r="F617" s="13">
        <f>InputData[[#This Row],[QUANTITY]]*InputData[[#This Row],[UNIT PRICE (R)]]</f>
        <v>3370.5</v>
      </c>
      <c r="G617" s="1" t="str">
        <f>VLOOKUP(InputData[[#This Row],[CUSTOMER NAME]],Country[],2,0)</f>
        <v>Russia</v>
      </c>
      <c r="H617" s="1" t="str">
        <f>VLOOKUP(InputData[[#This Row],[CUSTOMER NAME]],Country[],3,0)</f>
        <v>Export</v>
      </c>
      <c r="I617" s="1" t="str">
        <f>TEXT(InputData[[#This Row],[DATE]],"mmmm")</f>
        <v>September</v>
      </c>
      <c r="J617" s="1" t="str">
        <f>TEXT(InputData[[#This Row],[DATE]],"ddd")</f>
        <v>Tue</v>
      </c>
      <c r="K617" s="14">
        <f>WEEKNUM(InputData[[#This Row],[DATE]])</f>
        <v>39</v>
      </c>
      <c r="N617"/>
      <c r="R617" s="3" t="s">
        <v>73</v>
      </c>
      <c r="S617" s="1" t="str">
        <f t="shared" si="18"/>
        <v>Ashworth Trading Group</v>
      </c>
      <c r="V617"/>
      <c r="Z617" s="11" t="s">
        <v>1</v>
      </c>
      <c r="AA617" s="1" t="str">
        <f t="shared" si="19"/>
        <v>Hex Bolt M8</v>
      </c>
      <c r="AF617"/>
    </row>
    <row r="618" spans="1:32" x14ac:dyDescent="0.3">
      <c r="A618" s="10">
        <v>44460</v>
      </c>
      <c r="B618" s="3" t="s">
        <v>156</v>
      </c>
      <c r="C618" s="11" t="s">
        <v>230</v>
      </c>
      <c r="D618" s="12">
        <v>142.80000000000001</v>
      </c>
      <c r="E618" s="1">
        <v>32</v>
      </c>
      <c r="F618" s="13">
        <f>InputData[[#This Row],[QUANTITY]]*InputData[[#This Row],[UNIT PRICE (R)]]</f>
        <v>4569.6000000000004</v>
      </c>
      <c r="G618" s="1" t="str">
        <f>VLOOKUP(InputData[[#This Row],[CUSTOMER NAME]],Country[],2,0)</f>
        <v>India</v>
      </c>
      <c r="H618" s="1" t="str">
        <f>VLOOKUP(InputData[[#This Row],[CUSTOMER NAME]],Country[],3,0)</f>
        <v>East</v>
      </c>
      <c r="I618" s="1" t="str">
        <f>TEXT(InputData[[#This Row],[DATE]],"mmmm")</f>
        <v>September</v>
      </c>
      <c r="J618" s="1" t="str">
        <f>TEXT(InputData[[#This Row],[DATE]],"ddd")</f>
        <v>Tue</v>
      </c>
      <c r="K618" s="14">
        <f>WEEKNUM(InputData[[#This Row],[DATE]])</f>
        <v>39</v>
      </c>
      <c r="N618"/>
      <c r="R618" s="3" t="s">
        <v>56</v>
      </c>
      <c r="S618" s="1" t="str">
        <f t="shared" si="18"/>
        <v>Northgate Industries</v>
      </c>
      <c r="V618"/>
      <c r="Z618" s="11" t="s">
        <v>36</v>
      </c>
      <c r="AA618" s="1" t="str">
        <f t="shared" si="19"/>
        <v>Mending Plate 100mm</v>
      </c>
      <c r="AF618"/>
    </row>
    <row r="619" spans="1:32" x14ac:dyDescent="0.3">
      <c r="A619" s="10">
        <v>44460</v>
      </c>
      <c r="B619" s="3" t="s">
        <v>161</v>
      </c>
      <c r="C619" s="11" t="s">
        <v>248</v>
      </c>
      <c r="D619" s="12">
        <v>76.25</v>
      </c>
      <c r="E619" s="1">
        <v>7</v>
      </c>
      <c r="F619" s="13">
        <f>InputData[[#This Row],[QUANTITY]]*InputData[[#This Row],[UNIT PRICE (R)]]</f>
        <v>533.75</v>
      </c>
      <c r="G619" s="1" t="str">
        <f>VLOOKUP(InputData[[#This Row],[CUSTOMER NAME]],Country[],2,0)</f>
        <v>India</v>
      </c>
      <c r="H619" s="1" t="str">
        <f>VLOOKUP(InputData[[#This Row],[CUSTOMER NAME]],Country[],3,0)</f>
        <v>Central</v>
      </c>
      <c r="I619" s="1" t="str">
        <f>TEXT(InputData[[#This Row],[DATE]],"mmmm")</f>
        <v>September</v>
      </c>
      <c r="J619" s="1" t="str">
        <f>TEXT(InputData[[#This Row],[DATE]],"ddd")</f>
        <v>Tue</v>
      </c>
      <c r="K619" s="14">
        <f>WEEKNUM(InputData[[#This Row],[DATE]])</f>
        <v>39</v>
      </c>
      <c r="N619"/>
      <c r="R619" s="3" t="s">
        <v>61</v>
      </c>
      <c r="S619" s="1" t="str">
        <f t="shared" si="18"/>
        <v>Fairstone Retail Group</v>
      </c>
      <c r="V619"/>
      <c r="Z619" s="11" t="s">
        <v>2</v>
      </c>
      <c r="AA619" s="1" t="str">
        <f t="shared" si="19"/>
        <v>Hex Bolt M10</v>
      </c>
      <c r="AF619"/>
    </row>
    <row r="620" spans="1:32" x14ac:dyDescent="0.3">
      <c r="A620" s="10">
        <v>44460</v>
      </c>
      <c r="B620" s="3" t="s">
        <v>163</v>
      </c>
      <c r="C620" s="11" t="s">
        <v>254</v>
      </c>
      <c r="D620" s="12">
        <v>24.66</v>
      </c>
      <c r="E620" s="1">
        <v>5</v>
      </c>
      <c r="F620" s="13">
        <f>InputData[[#This Row],[QUANTITY]]*InputData[[#This Row],[UNIT PRICE (R)]]</f>
        <v>123.3</v>
      </c>
      <c r="G620" s="1" t="str">
        <f>VLOOKUP(InputData[[#This Row],[CUSTOMER NAME]],Country[],2,0)</f>
        <v>South Africa</v>
      </c>
      <c r="H620" s="1" t="str">
        <f>VLOOKUP(InputData[[#This Row],[CUSTOMER NAME]],Country[],3,0)</f>
        <v>Export</v>
      </c>
      <c r="I620" s="1" t="str">
        <f>TEXT(InputData[[#This Row],[DATE]],"mmmm")</f>
        <v>September</v>
      </c>
      <c r="J620" s="1" t="str">
        <f>TEXT(InputData[[#This Row],[DATE]],"ddd")</f>
        <v>Tue</v>
      </c>
      <c r="K620" s="14">
        <f>WEEKNUM(InputData[[#This Row],[DATE]])</f>
        <v>39</v>
      </c>
      <c r="N620"/>
      <c r="R620" s="3" t="s">
        <v>66</v>
      </c>
      <c r="S620" s="1" t="str">
        <f t="shared" si="18"/>
        <v>Whitfield Distributors</v>
      </c>
      <c r="V620"/>
      <c r="Z620" s="11" t="s">
        <v>20</v>
      </c>
      <c r="AA620" s="1" t="str">
        <f t="shared" si="19"/>
        <v>Toggle Bolt M6</v>
      </c>
      <c r="AF620"/>
    </row>
    <row r="621" spans="1:32" x14ac:dyDescent="0.3">
      <c r="A621" s="10">
        <v>44460</v>
      </c>
      <c r="B621" s="3" t="s">
        <v>171</v>
      </c>
      <c r="C621" s="11" t="s">
        <v>246</v>
      </c>
      <c r="D621" s="12">
        <v>49.21</v>
      </c>
      <c r="E621" s="1">
        <v>14</v>
      </c>
      <c r="F621" s="13">
        <f>InputData[[#This Row],[QUANTITY]]*InputData[[#This Row],[UNIT PRICE (R)]]</f>
        <v>688.94</v>
      </c>
      <c r="G621" s="1" t="str">
        <f>VLOOKUP(InputData[[#This Row],[CUSTOMER NAME]],Country[],2,0)</f>
        <v>India</v>
      </c>
      <c r="H621" s="1" t="str">
        <f>VLOOKUP(InputData[[#This Row],[CUSTOMER NAME]],Country[],3,0)</f>
        <v>South</v>
      </c>
      <c r="I621" s="1" t="str">
        <f>TEXT(InputData[[#This Row],[DATE]],"mmmm")</f>
        <v>September</v>
      </c>
      <c r="J621" s="1" t="str">
        <f>TEXT(InputData[[#This Row],[DATE]],"ddd")</f>
        <v>Tue</v>
      </c>
      <c r="K621" s="14">
        <f>WEEKNUM(InputData[[#This Row],[DATE]])</f>
        <v>39</v>
      </c>
      <c r="N621"/>
      <c r="R621" s="3" t="s">
        <v>68</v>
      </c>
      <c r="S621" s="1" t="str">
        <f t="shared" si="18"/>
        <v>Delacroix Wholesale</v>
      </c>
      <c r="V621"/>
      <c r="Z621" s="11" t="s">
        <v>26</v>
      </c>
      <c r="AA621" s="1" t="str">
        <f t="shared" si="19"/>
        <v>Chain Link 6mm</v>
      </c>
      <c r="AF621"/>
    </row>
    <row r="622" spans="1:32" x14ac:dyDescent="0.3">
      <c r="A622" s="10">
        <v>44461</v>
      </c>
      <c r="B622" s="3" t="s">
        <v>147</v>
      </c>
      <c r="C622" s="11" t="s">
        <v>249</v>
      </c>
      <c r="D622" s="12">
        <v>162.54</v>
      </c>
      <c r="E622" s="1">
        <v>21</v>
      </c>
      <c r="F622" s="13">
        <f>InputData[[#This Row],[QUANTITY]]*InputData[[#This Row],[UNIT PRICE (R)]]</f>
        <v>3413.3399999999997</v>
      </c>
      <c r="G622" s="1" t="str">
        <f>VLOOKUP(InputData[[#This Row],[CUSTOMER NAME]],Country[],2,0)</f>
        <v>India</v>
      </c>
      <c r="H622" s="1" t="str">
        <f>VLOOKUP(InputData[[#This Row],[CUSTOMER NAME]],Country[],3,0)</f>
        <v>Northeast</v>
      </c>
      <c r="I622" s="1" t="str">
        <f>TEXT(InputData[[#This Row],[DATE]],"mmmm")</f>
        <v>September</v>
      </c>
      <c r="J622" s="1" t="str">
        <f>TEXT(InputData[[#This Row],[DATE]],"ddd")</f>
        <v>Wed</v>
      </c>
      <c r="K622" s="14">
        <f>WEEKNUM(InputData[[#This Row],[DATE]])</f>
        <v>39</v>
      </c>
      <c r="N622"/>
      <c r="R622" s="3" t="s">
        <v>76</v>
      </c>
      <c r="S622" s="1" t="str">
        <f t="shared" si="18"/>
        <v>Overton Retail Solutions</v>
      </c>
      <c r="V622"/>
      <c r="Z622" s="11" t="s">
        <v>18</v>
      </c>
      <c r="AA622" s="1" t="str">
        <f t="shared" si="19"/>
        <v>Split Pin 5mm</v>
      </c>
      <c r="AF622"/>
    </row>
    <row r="623" spans="1:32" x14ac:dyDescent="0.3">
      <c r="A623" s="10">
        <v>44461</v>
      </c>
      <c r="B623" s="3" t="s">
        <v>162</v>
      </c>
      <c r="C623" s="11" t="s">
        <v>232</v>
      </c>
      <c r="D623" s="12">
        <v>48.84</v>
      </c>
      <c r="E623" s="1">
        <v>14</v>
      </c>
      <c r="F623" s="13">
        <f>InputData[[#This Row],[QUANTITY]]*InputData[[#This Row],[UNIT PRICE (R)]]</f>
        <v>683.76</v>
      </c>
      <c r="G623" s="1" t="str">
        <f>VLOOKUP(InputData[[#This Row],[CUSTOMER NAME]],Country[],2,0)</f>
        <v>United Kingdom</v>
      </c>
      <c r="H623" s="1" t="str">
        <f>VLOOKUP(InputData[[#This Row],[CUSTOMER NAME]],Country[],3,0)</f>
        <v>Export</v>
      </c>
      <c r="I623" s="1" t="str">
        <f>TEXT(InputData[[#This Row],[DATE]],"mmmm")</f>
        <v>September</v>
      </c>
      <c r="J623" s="1" t="str">
        <f>TEXT(InputData[[#This Row],[DATE]],"ddd")</f>
        <v>Wed</v>
      </c>
      <c r="K623" s="14">
        <f>WEEKNUM(InputData[[#This Row],[DATE]])</f>
        <v>39</v>
      </c>
      <c r="N623"/>
      <c r="R623" s="3" t="s">
        <v>52</v>
      </c>
      <c r="S623" s="1" t="str">
        <f t="shared" si="18"/>
        <v>Harrow Distribution</v>
      </c>
      <c r="V623"/>
      <c r="Z623" s="11" t="s">
        <v>21</v>
      </c>
      <c r="AA623" s="1" t="str">
        <f t="shared" si="19"/>
        <v>Pipe Clamp 25mm</v>
      </c>
      <c r="AF623"/>
    </row>
    <row r="624" spans="1:32" x14ac:dyDescent="0.3">
      <c r="A624" s="10">
        <v>44461</v>
      </c>
      <c r="B624" s="3" t="s">
        <v>179</v>
      </c>
      <c r="C624" s="11" t="s">
        <v>230</v>
      </c>
      <c r="D624" s="12">
        <v>142.80000000000001</v>
      </c>
      <c r="E624" s="1">
        <v>4</v>
      </c>
      <c r="F624" s="13">
        <f>InputData[[#This Row],[QUANTITY]]*InputData[[#This Row],[UNIT PRICE (R)]]</f>
        <v>571.20000000000005</v>
      </c>
      <c r="G624" s="1" t="str">
        <f>VLOOKUP(InputData[[#This Row],[CUSTOMER NAME]],Country[],2,0)</f>
        <v>United States of America</v>
      </c>
      <c r="H624" s="1" t="str">
        <f>VLOOKUP(InputData[[#This Row],[CUSTOMER NAME]],Country[],3,0)</f>
        <v>Export</v>
      </c>
      <c r="I624" s="1" t="str">
        <f>TEXT(InputData[[#This Row],[DATE]],"mmmm")</f>
        <v>September</v>
      </c>
      <c r="J624" s="1" t="str">
        <f>TEXT(InputData[[#This Row],[DATE]],"ddd")</f>
        <v>Wed</v>
      </c>
      <c r="K624" s="14">
        <f>WEEKNUM(InputData[[#This Row],[DATE]])</f>
        <v>39</v>
      </c>
      <c r="N624"/>
      <c r="R624" s="3" t="s">
        <v>67</v>
      </c>
      <c r="S624" s="1" t="str">
        <f t="shared" si="18"/>
        <v>Ironbridge Trading Co.</v>
      </c>
      <c r="V624"/>
      <c r="Z624" s="11" t="s">
        <v>4</v>
      </c>
      <c r="AA624" s="1" t="str">
        <f t="shared" si="19"/>
        <v>Carriage Bolt M8</v>
      </c>
      <c r="AF624"/>
    </row>
    <row r="625" spans="1:32" x14ac:dyDescent="0.3">
      <c r="A625" s="10">
        <v>44461</v>
      </c>
      <c r="B625" s="3" t="s">
        <v>182</v>
      </c>
      <c r="C625" s="11" t="s">
        <v>268</v>
      </c>
      <c r="D625" s="12">
        <v>115.2</v>
      </c>
      <c r="E625" s="1">
        <v>2</v>
      </c>
      <c r="F625" s="13">
        <f>InputData[[#This Row],[QUANTITY]]*InputData[[#This Row],[UNIT PRICE (R)]]</f>
        <v>230.4</v>
      </c>
      <c r="G625" s="1" t="str">
        <f>VLOOKUP(InputData[[#This Row],[CUSTOMER NAME]],Country[],2,0)</f>
        <v>United States of America</v>
      </c>
      <c r="H625" s="1" t="str">
        <f>VLOOKUP(InputData[[#This Row],[CUSTOMER NAME]],Country[],3,0)</f>
        <v>Export</v>
      </c>
      <c r="I625" s="1" t="str">
        <f>TEXT(InputData[[#This Row],[DATE]],"mmmm")</f>
        <v>September</v>
      </c>
      <c r="J625" s="1" t="str">
        <f>TEXT(InputData[[#This Row],[DATE]],"ddd")</f>
        <v>Wed</v>
      </c>
      <c r="K625" s="14">
        <f>WEEKNUM(InputData[[#This Row],[DATE]])</f>
        <v>39</v>
      </c>
      <c r="N625"/>
      <c r="R625" s="3" t="s">
        <v>101</v>
      </c>
      <c r="S625" s="1" t="str">
        <f t="shared" si="18"/>
        <v>Hollowell Supply Co.</v>
      </c>
      <c r="V625"/>
      <c r="Z625" s="11" t="s">
        <v>2</v>
      </c>
      <c r="AA625" s="1" t="str">
        <f t="shared" si="19"/>
        <v>Hex Bolt M10</v>
      </c>
      <c r="AF625"/>
    </row>
    <row r="626" spans="1:32" x14ac:dyDescent="0.3">
      <c r="A626" s="10">
        <v>44461</v>
      </c>
      <c r="B626" s="3" t="s">
        <v>182</v>
      </c>
      <c r="C626" s="11" t="s">
        <v>271</v>
      </c>
      <c r="D626" s="12">
        <v>83.08</v>
      </c>
      <c r="E626" s="1">
        <v>12</v>
      </c>
      <c r="F626" s="13">
        <f>InputData[[#This Row],[QUANTITY]]*InputData[[#This Row],[UNIT PRICE (R)]]</f>
        <v>996.96</v>
      </c>
      <c r="G626" s="1" t="str">
        <f>VLOOKUP(InputData[[#This Row],[CUSTOMER NAME]],Country[],2,0)</f>
        <v>United States of America</v>
      </c>
      <c r="H626" s="1" t="str">
        <f>VLOOKUP(InputData[[#This Row],[CUSTOMER NAME]],Country[],3,0)</f>
        <v>Export</v>
      </c>
      <c r="I626" s="1" t="str">
        <f>TEXT(InputData[[#This Row],[DATE]],"mmmm")</f>
        <v>September</v>
      </c>
      <c r="J626" s="1" t="str">
        <f>TEXT(InputData[[#This Row],[DATE]],"ddd")</f>
        <v>Wed</v>
      </c>
      <c r="K626" s="14">
        <f>WEEKNUM(InputData[[#This Row],[DATE]])</f>
        <v>39</v>
      </c>
      <c r="N626"/>
      <c r="R626" s="3" t="s">
        <v>104</v>
      </c>
      <c r="S626" s="1" t="str">
        <f t="shared" si="18"/>
        <v>Radcliffe Mercantile</v>
      </c>
      <c r="V626"/>
      <c r="Z626" s="11" t="s">
        <v>40</v>
      </c>
      <c r="AA626" s="1" t="str">
        <f t="shared" si="19"/>
        <v>Conduit Clamp 25mm</v>
      </c>
      <c r="AF626"/>
    </row>
    <row r="627" spans="1:32" x14ac:dyDescent="0.3">
      <c r="A627" s="10">
        <v>44462</v>
      </c>
      <c r="B627" s="3" t="s">
        <v>154</v>
      </c>
      <c r="C627" s="11" t="s">
        <v>240</v>
      </c>
      <c r="D627" s="12">
        <v>94.17</v>
      </c>
      <c r="E627" s="1">
        <v>12</v>
      </c>
      <c r="F627" s="13">
        <f>InputData[[#This Row],[QUANTITY]]*InputData[[#This Row],[UNIT PRICE (R)]]</f>
        <v>1130.04</v>
      </c>
      <c r="G627" s="1" t="str">
        <f>VLOOKUP(InputData[[#This Row],[CUSTOMER NAME]],Country[],2,0)</f>
        <v>India</v>
      </c>
      <c r="H627" s="1" t="str">
        <f>VLOOKUP(InputData[[#This Row],[CUSTOMER NAME]],Country[],3,0)</f>
        <v>Central</v>
      </c>
      <c r="I627" s="1" t="str">
        <f>TEXT(InputData[[#This Row],[DATE]],"mmmm")</f>
        <v>September</v>
      </c>
      <c r="J627" s="1" t="str">
        <f>TEXT(InputData[[#This Row],[DATE]],"ddd")</f>
        <v>Thu</v>
      </c>
      <c r="K627" s="14">
        <f>WEEKNUM(InputData[[#This Row],[DATE]])</f>
        <v>39</v>
      </c>
      <c r="N627"/>
      <c r="R627" s="3" t="s">
        <v>104</v>
      </c>
      <c r="S627" s="1" t="str">
        <f t="shared" si="18"/>
        <v>Radcliffe Mercantile</v>
      </c>
      <c r="V627"/>
      <c r="Z627" s="11" t="s">
        <v>43</v>
      </c>
      <c r="AA627" s="1" t="str">
        <f t="shared" si="19"/>
        <v>Copper Pipe Fitting 15mm</v>
      </c>
      <c r="AF627"/>
    </row>
    <row r="628" spans="1:32" x14ac:dyDescent="0.3">
      <c r="A628" s="10">
        <v>44462</v>
      </c>
      <c r="B628" s="3" t="s">
        <v>165</v>
      </c>
      <c r="C628" s="11" t="s">
        <v>249</v>
      </c>
      <c r="D628" s="12">
        <v>162.54</v>
      </c>
      <c r="E628" s="1">
        <v>7</v>
      </c>
      <c r="F628" s="13">
        <f>InputData[[#This Row],[QUANTITY]]*InputData[[#This Row],[UNIT PRICE (R)]]</f>
        <v>1137.78</v>
      </c>
      <c r="G628" s="1" t="str">
        <f>VLOOKUP(InputData[[#This Row],[CUSTOMER NAME]],Country[],2,0)</f>
        <v>India</v>
      </c>
      <c r="H628" s="1" t="str">
        <f>VLOOKUP(InputData[[#This Row],[CUSTOMER NAME]],Country[],3,0)</f>
        <v>Western</v>
      </c>
      <c r="I628" s="1" t="str">
        <f>TEXT(InputData[[#This Row],[DATE]],"mmmm")</f>
        <v>September</v>
      </c>
      <c r="J628" s="1" t="str">
        <f>TEXT(InputData[[#This Row],[DATE]],"ddd")</f>
        <v>Thu</v>
      </c>
      <c r="K628" s="14">
        <f>WEEKNUM(InputData[[#This Row],[DATE]])</f>
        <v>39</v>
      </c>
      <c r="N628"/>
      <c r="R628" s="3" t="s">
        <v>59</v>
      </c>
      <c r="S628" s="1" t="str">
        <f t="shared" si="18"/>
        <v>Bellview Enterprises</v>
      </c>
      <c r="V628"/>
      <c r="Z628" s="11" t="s">
        <v>12</v>
      </c>
      <c r="AA628" s="1" t="str">
        <f t="shared" si="19"/>
        <v>Drywall Screw 30mm</v>
      </c>
      <c r="AF628"/>
    </row>
    <row r="629" spans="1:32" x14ac:dyDescent="0.3">
      <c r="A629" s="10">
        <v>44462</v>
      </c>
      <c r="B629" s="3" t="s">
        <v>168</v>
      </c>
      <c r="C629" s="11" t="s">
        <v>246</v>
      </c>
      <c r="D629" s="12">
        <v>49.21</v>
      </c>
      <c r="E629" s="1">
        <v>12</v>
      </c>
      <c r="F629" s="13">
        <f>InputData[[#This Row],[QUANTITY]]*InputData[[#This Row],[UNIT PRICE (R)]]</f>
        <v>590.52</v>
      </c>
      <c r="G629" s="1" t="str">
        <f>VLOOKUP(InputData[[#This Row],[CUSTOMER NAME]],Country[],2,0)</f>
        <v>India</v>
      </c>
      <c r="H629" s="1" t="str">
        <f>VLOOKUP(InputData[[#This Row],[CUSTOMER NAME]],Country[],3,0)</f>
        <v>Northeast</v>
      </c>
      <c r="I629" s="1" t="str">
        <f>TEXT(InputData[[#This Row],[DATE]],"mmmm")</f>
        <v>September</v>
      </c>
      <c r="J629" s="1" t="str">
        <f>TEXT(InputData[[#This Row],[DATE]],"ddd")</f>
        <v>Thu</v>
      </c>
      <c r="K629" s="14">
        <f>WEEKNUM(InputData[[#This Row],[DATE]])</f>
        <v>39</v>
      </c>
      <c r="N629"/>
      <c r="R629" s="3" t="s">
        <v>70</v>
      </c>
      <c r="S629" s="1" t="str">
        <f t="shared" si="18"/>
        <v>Larkspur Retailers</v>
      </c>
      <c r="V629"/>
      <c r="Z629" s="11" t="s">
        <v>21</v>
      </c>
      <c r="AA629" s="1" t="str">
        <f t="shared" si="19"/>
        <v>Pipe Clamp 25mm</v>
      </c>
      <c r="AF629"/>
    </row>
    <row r="630" spans="1:32" x14ac:dyDescent="0.3">
      <c r="A630" s="10">
        <v>44463</v>
      </c>
      <c r="B630" s="3" t="s">
        <v>148</v>
      </c>
      <c r="C630" s="11" t="s">
        <v>260</v>
      </c>
      <c r="D630" s="12">
        <v>117.48</v>
      </c>
      <c r="E630" s="1">
        <v>34</v>
      </c>
      <c r="F630" s="13">
        <f>InputData[[#This Row],[QUANTITY]]*InputData[[#This Row],[UNIT PRICE (R)]]</f>
        <v>3994.32</v>
      </c>
      <c r="G630" s="1" t="str">
        <f>VLOOKUP(InputData[[#This Row],[CUSTOMER NAME]],Country[],2,0)</f>
        <v>Pakistan</v>
      </c>
      <c r="H630" s="1" t="str">
        <f>VLOOKUP(InputData[[#This Row],[CUSTOMER NAME]],Country[],3,0)</f>
        <v>Export</v>
      </c>
      <c r="I630" s="1" t="str">
        <f>TEXT(InputData[[#This Row],[DATE]],"mmmm")</f>
        <v>September</v>
      </c>
      <c r="J630" s="1" t="str">
        <f>TEXT(InputData[[#This Row],[DATE]],"ddd")</f>
        <v>Fri</v>
      </c>
      <c r="K630" s="14">
        <f>WEEKNUM(InputData[[#This Row],[DATE]])</f>
        <v>39</v>
      </c>
      <c r="N630"/>
      <c r="R630" s="3" t="s">
        <v>73</v>
      </c>
      <c r="S630" s="1" t="str">
        <f t="shared" si="18"/>
        <v>Ashworth Trading Group</v>
      </c>
      <c r="V630"/>
      <c r="Z630" s="11" t="s">
        <v>18</v>
      </c>
      <c r="AA630" s="1" t="str">
        <f t="shared" si="19"/>
        <v>Split Pin 5mm</v>
      </c>
      <c r="AF630"/>
    </row>
    <row r="631" spans="1:32" x14ac:dyDescent="0.3">
      <c r="A631" s="10">
        <v>44463</v>
      </c>
      <c r="B631" s="3" t="s">
        <v>152</v>
      </c>
      <c r="C631" s="11" t="s">
        <v>260</v>
      </c>
      <c r="D631" s="12">
        <v>117.48</v>
      </c>
      <c r="E631" s="1">
        <v>8</v>
      </c>
      <c r="F631" s="13">
        <f>InputData[[#This Row],[QUANTITY]]*InputData[[#This Row],[UNIT PRICE (R)]]</f>
        <v>939.84</v>
      </c>
      <c r="G631" s="1" t="str">
        <f>VLOOKUP(InputData[[#This Row],[CUSTOMER NAME]],Country[],2,0)</f>
        <v>India</v>
      </c>
      <c r="H631" s="1" t="str">
        <f>VLOOKUP(InputData[[#This Row],[CUSTOMER NAME]],Country[],3,0)</f>
        <v>South</v>
      </c>
      <c r="I631" s="1" t="str">
        <f>TEXT(InputData[[#This Row],[DATE]],"mmmm")</f>
        <v>September</v>
      </c>
      <c r="J631" s="1" t="str">
        <f>TEXT(InputData[[#This Row],[DATE]],"ddd")</f>
        <v>Fri</v>
      </c>
      <c r="K631" s="14">
        <f>WEEKNUM(InputData[[#This Row],[DATE]])</f>
        <v>39</v>
      </c>
      <c r="N631"/>
      <c r="R631" s="3" t="s">
        <v>53</v>
      </c>
      <c r="S631" s="1" t="str">
        <f t="shared" si="18"/>
        <v>Vantage Point Retailers</v>
      </c>
      <c r="V631"/>
      <c r="Z631" s="11" t="s">
        <v>32</v>
      </c>
      <c r="AA631" s="1" t="str">
        <f t="shared" si="19"/>
        <v>Corner Bracket 50mm</v>
      </c>
      <c r="AF631"/>
    </row>
    <row r="632" spans="1:32" x14ac:dyDescent="0.3">
      <c r="A632" s="10">
        <v>44463</v>
      </c>
      <c r="B632" s="3" t="s">
        <v>156</v>
      </c>
      <c r="C632" s="11" t="s">
        <v>260</v>
      </c>
      <c r="D632" s="12">
        <v>117.48</v>
      </c>
      <c r="E632" s="1">
        <v>14</v>
      </c>
      <c r="F632" s="13">
        <f>InputData[[#This Row],[QUANTITY]]*InputData[[#This Row],[UNIT PRICE (R)]]</f>
        <v>1644.72</v>
      </c>
      <c r="G632" s="1" t="str">
        <f>VLOOKUP(InputData[[#This Row],[CUSTOMER NAME]],Country[],2,0)</f>
        <v>India</v>
      </c>
      <c r="H632" s="1" t="str">
        <f>VLOOKUP(InputData[[#This Row],[CUSTOMER NAME]],Country[],3,0)</f>
        <v>East</v>
      </c>
      <c r="I632" s="1" t="str">
        <f>TEXT(InputData[[#This Row],[DATE]],"mmmm")</f>
        <v>September</v>
      </c>
      <c r="J632" s="1" t="str">
        <f>TEXT(InputData[[#This Row],[DATE]],"ddd")</f>
        <v>Fri</v>
      </c>
      <c r="K632" s="14">
        <f>WEEKNUM(InputData[[#This Row],[DATE]])</f>
        <v>39</v>
      </c>
      <c r="N632"/>
      <c r="R632" s="3" t="s">
        <v>57</v>
      </c>
      <c r="S632" s="1" t="str">
        <f t="shared" si="18"/>
        <v>Ashcombe Traders</v>
      </c>
      <c r="V632"/>
      <c r="Z632" s="11" t="s">
        <v>32</v>
      </c>
      <c r="AA632" s="1" t="str">
        <f t="shared" si="19"/>
        <v>Corner Bracket 50mm</v>
      </c>
      <c r="AF632"/>
    </row>
    <row r="633" spans="1:32" x14ac:dyDescent="0.3">
      <c r="A633" s="10">
        <v>44464</v>
      </c>
      <c r="B633" s="3" t="s">
        <v>154</v>
      </c>
      <c r="C633" s="11" t="s">
        <v>231</v>
      </c>
      <c r="D633" s="12">
        <v>80.94</v>
      </c>
      <c r="E633" s="1">
        <v>31</v>
      </c>
      <c r="F633" s="13">
        <f>InputData[[#This Row],[QUANTITY]]*InputData[[#This Row],[UNIT PRICE (R)]]</f>
        <v>2509.14</v>
      </c>
      <c r="G633" s="1" t="str">
        <f>VLOOKUP(InputData[[#This Row],[CUSTOMER NAME]],Country[],2,0)</f>
        <v>India</v>
      </c>
      <c r="H633" s="1" t="str">
        <f>VLOOKUP(InputData[[#This Row],[CUSTOMER NAME]],Country[],3,0)</f>
        <v>Central</v>
      </c>
      <c r="I633" s="1" t="str">
        <f>TEXT(InputData[[#This Row],[DATE]],"mmmm")</f>
        <v>September</v>
      </c>
      <c r="J633" s="1" t="str">
        <f>TEXT(InputData[[#This Row],[DATE]],"ddd")</f>
        <v>Sat</v>
      </c>
      <c r="K633" s="14">
        <f>WEEKNUM(InputData[[#This Row],[DATE]])</f>
        <v>39</v>
      </c>
      <c r="N633"/>
      <c r="R633" s="3" t="s">
        <v>61</v>
      </c>
      <c r="S633" s="1" t="str">
        <f t="shared" si="18"/>
        <v>Fairstone Retail Group</v>
      </c>
      <c r="V633"/>
      <c r="Z633" s="11" t="s">
        <v>32</v>
      </c>
      <c r="AA633" s="1" t="str">
        <f t="shared" si="19"/>
        <v>Corner Bracket 50mm</v>
      </c>
      <c r="AF633"/>
    </row>
    <row r="634" spans="1:32" x14ac:dyDescent="0.3">
      <c r="A634" s="10">
        <v>44466</v>
      </c>
      <c r="B634" s="3" t="s">
        <v>146</v>
      </c>
      <c r="C634" s="11" t="s">
        <v>262</v>
      </c>
      <c r="D634" s="12">
        <v>58.3</v>
      </c>
      <c r="E634" s="1">
        <v>1</v>
      </c>
      <c r="F634" s="13">
        <f>InputData[[#This Row],[QUANTITY]]*InputData[[#This Row],[UNIT PRICE (R)]]</f>
        <v>58.3</v>
      </c>
      <c r="G634" s="1" t="str">
        <f>VLOOKUP(InputData[[#This Row],[CUSTOMER NAME]],Country[],2,0)</f>
        <v>Saudi Arabia</v>
      </c>
      <c r="H634" s="1" t="str">
        <f>VLOOKUP(InputData[[#This Row],[CUSTOMER NAME]],Country[],3,0)</f>
        <v>Export</v>
      </c>
      <c r="I634" s="1" t="str">
        <f>TEXT(InputData[[#This Row],[DATE]],"mmmm")</f>
        <v>September</v>
      </c>
      <c r="J634" s="1" t="str">
        <f>TEXT(InputData[[#This Row],[DATE]],"ddd")</f>
        <v>Mon</v>
      </c>
      <c r="K634" s="14">
        <f>WEEKNUM(InputData[[#This Row],[DATE]])</f>
        <v>40</v>
      </c>
      <c r="N634"/>
      <c r="R634" s="3" t="s">
        <v>59</v>
      </c>
      <c r="S634" s="1" t="str">
        <f t="shared" si="18"/>
        <v>Bellview Enterprises</v>
      </c>
      <c r="V634"/>
      <c r="Z634" s="11" t="s">
        <v>3</v>
      </c>
      <c r="AA634" s="1" t="str">
        <f t="shared" si="19"/>
        <v>Hex Bolt M12</v>
      </c>
      <c r="AF634"/>
    </row>
    <row r="635" spans="1:32" x14ac:dyDescent="0.3">
      <c r="A635" s="10">
        <v>44466</v>
      </c>
      <c r="B635" s="3" t="s">
        <v>147</v>
      </c>
      <c r="C635" s="11" t="s">
        <v>233</v>
      </c>
      <c r="D635" s="12">
        <v>155.61000000000001</v>
      </c>
      <c r="E635" s="1">
        <v>11</v>
      </c>
      <c r="F635" s="13">
        <f>InputData[[#This Row],[QUANTITY]]*InputData[[#This Row],[UNIT PRICE (R)]]</f>
        <v>1711.71</v>
      </c>
      <c r="G635" s="1" t="str">
        <f>VLOOKUP(InputData[[#This Row],[CUSTOMER NAME]],Country[],2,0)</f>
        <v>India</v>
      </c>
      <c r="H635" s="1" t="str">
        <f>VLOOKUP(InputData[[#This Row],[CUSTOMER NAME]],Country[],3,0)</f>
        <v>Northeast</v>
      </c>
      <c r="I635" s="1" t="str">
        <f>TEXT(InputData[[#This Row],[DATE]],"mmmm")</f>
        <v>September</v>
      </c>
      <c r="J635" s="1" t="str">
        <f>TEXT(InputData[[#This Row],[DATE]],"ddd")</f>
        <v>Mon</v>
      </c>
      <c r="K635" s="14">
        <f>WEEKNUM(InputData[[#This Row],[DATE]])</f>
        <v>40</v>
      </c>
      <c r="N635"/>
      <c r="R635" s="3" t="s">
        <v>51</v>
      </c>
      <c r="S635" s="1" t="str">
        <f t="shared" si="18"/>
        <v>Coastal Fittings Ltd</v>
      </c>
      <c r="V635"/>
      <c r="Z635" s="11" t="s">
        <v>34</v>
      </c>
      <c r="AA635" s="1" t="str">
        <f t="shared" si="19"/>
        <v>L-Bracket 75mm</v>
      </c>
      <c r="AF635"/>
    </row>
    <row r="636" spans="1:32" x14ac:dyDescent="0.3">
      <c r="A636" s="10">
        <v>44466</v>
      </c>
      <c r="B636" s="3" t="s">
        <v>159</v>
      </c>
      <c r="C636" s="11" t="s">
        <v>264</v>
      </c>
      <c r="D636" s="12">
        <v>96.3</v>
      </c>
      <c r="E636" s="1">
        <v>4</v>
      </c>
      <c r="F636" s="13">
        <f>InputData[[#This Row],[QUANTITY]]*InputData[[#This Row],[UNIT PRICE (R)]]</f>
        <v>385.2</v>
      </c>
      <c r="G636" s="1" t="str">
        <f>VLOOKUP(InputData[[#This Row],[CUSTOMER NAME]],Country[],2,0)</f>
        <v>Saudi Arabia</v>
      </c>
      <c r="H636" s="1" t="str">
        <f>VLOOKUP(InputData[[#This Row],[CUSTOMER NAME]],Country[],3,0)</f>
        <v>Export</v>
      </c>
      <c r="I636" s="1" t="str">
        <f>TEXT(InputData[[#This Row],[DATE]],"mmmm")</f>
        <v>September</v>
      </c>
      <c r="J636" s="1" t="str">
        <f>TEXT(InputData[[#This Row],[DATE]],"ddd")</f>
        <v>Mon</v>
      </c>
      <c r="K636" s="14">
        <f>WEEKNUM(InputData[[#This Row],[DATE]])</f>
        <v>40</v>
      </c>
      <c r="N636"/>
      <c r="R636" s="3" t="s">
        <v>52</v>
      </c>
      <c r="S636" s="1" t="str">
        <f t="shared" si="18"/>
        <v>Harrow Distribution</v>
      </c>
      <c r="V636"/>
      <c r="Z636" s="11" t="s">
        <v>5</v>
      </c>
      <c r="AA636" s="1" t="str">
        <f t="shared" si="19"/>
        <v>Wing Nut M6</v>
      </c>
      <c r="AF636"/>
    </row>
    <row r="637" spans="1:32" x14ac:dyDescent="0.3">
      <c r="A637" s="10">
        <v>44466</v>
      </c>
      <c r="B637" s="3" t="s">
        <v>160</v>
      </c>
      <c r="C637" s="11" t="s">
        <v>266</v>
      </c>
      <c r="D637" s="12">
        <v>79.92</v>
      </c>
      <c r="E637" s="1">
        <v>3</v>
      </c>
      <c r="F637" s="13">
        <f>InputData[[#This Row],[QUANTITY]]*InputData[[#This Row],[UNIT PRICE (R)]]</f>
        <v>239.76</v>
      </c>
      <c r="G637" s="1" t="str">
        <f>VLOOKUP(InputData[[#This Row],[CUSTOMER NAME]],Country[],2,0)</f>
        <v>India</v>
      </c>
      <c r="H637" s="1" t="str">
        <f>VLOOKUP(InputData[[#This Row],[CUSTOMER NAME]],Country[],3,0)</f>
        <v>Western</v>
      </c>
      <c r="I637" s="1" t="str">
        <f>TEXT(InputData[[#This Row],[DATE]],"mmmm")</f>
        <v>September</v>
      </c>
      <c r="J637" s="1" t="str">
        <f>TEXT(InputData[[#This Row],[DATE]],"ddd")</f>
        <v>Mon</v>
      </c>
      <c r="K637" s="14">
        <f>WEEKNUM(InputData[[#This Row],[DATE]])</f>
        <v>40</v>
      </c>
      <c r="N637"/>
      <c r="R637" s="3" t="s">
        <v>64</v>
      </c>
      <c r="S637" s="1" t="str">
        <f t="shared" si="18"/>
        <v>Ridgeway Commercial</v>
      </c>
      <c r="V637"/>
      <c r="Z637" s="11" t="s">
        <v>36</v>
      </c>
      <c r="AA637" s="1" t="str">
        <f t="shared" si="19"/>
        <v>Mending Plate 100mm</v>
      </c>
      <c r="AF637"/>
    </row>
    <row r="638" spans="1:32" x14ac:dyDescent="0.3">
      <c r="A638" s="10">
        <v>44466</v>
      </c>
      <c r="B638" s="3" t="s">
        <v>165</v>
      </c>
      <c r="C638" s="11" t="s">
        <v>269</v>
      </c>
      <c r="D638" s="12">
        <v>173.88</v>
      </c>
      <c r="E638" s="1">
        <v>23</v>
      </c>
      <c r="F638" s="13">
        <f>InputData[[#This Row],[QUANTITY]]*InputData[[#This Row],[UNIT PRICE (R)]]</f>
        <v>3999.24</v>
      </c>
      <c r="G638" s="1" t="str">
        <f>VLOOKUP(InputData[[#This Row],[CUSTOMER NAME]],Country[],2,0)</f>
        <v>India</v>
      </c>
      <c r="H638" s="1" t="str">
        <f>VLOOKUP(InputData[[#This Row],[CUSTOMER NAME]],Country[],3,0)</f>
        <v>Western</v>
      </c>
      <c r="I638" s="1" t="str">
        <f>TEXT(InputData[[#This Row],[DATE]],"mmmm")</f>
        <v>September</v>
      </c>
      <c r="J638" s="1" t="str">
        <f>TEXT(InputData[[#This Row],[DATE]],"ddd")</f>
        <v>Mon</v>
      </c>
      <c r="K638" s="14">
        <f>WEEKNUM(InputData[[#This Row],[DATE]])</f>
        <v>40</v>
      </c>
      <c r="N638"/>
      <c r="R638" s="3" t="s">
        <v>65</v>
      </c>
      <c r="S638" s="1" t="str">
        <f t="shared" si="18"/>
        <v>Talbot Street Merchants</v>
      </c>
      <c r="V638"/>
      <c r="Z638" s="11" t="s">
        <v>38</v>
      </c>
      <c r="AA638" s="1" t="str">
        <f t="shared" si="19"/>
        <v>Cable Tie 300mm</v>
      </c>
      <c r="AF638"/>
    </row>
    <row r="639" spans="1:32" x14ac:dyDescent="0.3">
      <c r="A639" s="10">
        <v>44466</v>
      </c>
      <c r="B639" s="3" t="s">
        <v>182</v>
      </c>
      <c r="C639" s="11" t="s">
        <v>272</v>
      </c>
      <c r="D639" s="12">
        <v>82.08</v>
      </c>
      <c r="E639" s="1">
        <v>9</v>
      </c>
      <c r="F639" s="13">
        <f>InputData[[#This Row],[QUANTITY]]*InputData[[#This Row],[UNIT PRICE (R)]]</f>
        <v>738.72</v>
      </c>
      <c r="G639" s="1" t="str">
        <f>VLOOKUP(InputData[[#This Row],[CUSTOMER NAME]],Country[],2,0)</f>
        <v>United States of America</v>
      </c>
      <c r="H639" s="1" t="str">
        <f>VLOOKUP(InputData[[#This Row],[CUSTOMER NAME]],Country[],3,0)</f>
        <v>Export</v>
      </c>
      <c r="I639" s="1" t="str">
        <f>TEXT(InputData[[#This Row],[DATE]],"mmmm")</f>
        <v>September</v>
      </c>
      <c r="J639" s="1" t="str">
        <f>TEXT(InputData[[#This Row],[DATE]],"ddd")</f>
        <v>Mon</v>
      </c>
      <c r="K639" s="14">
        <f>WEEKNUM(InputData[[#This Row],[DATE]])</f>
        <v>40</v>
      </c>
      <c r="N639"/>
      <c r="R639" s="3" t="s">
        <v>70</v>
      </c>
      <c r="S639" s="1" t="str">
        <f t="shared" si="18"/>
        <v>Larkspur Retailers</v>
      </c>
      <c r="V639"/>
      <c r="Z639" s="11" t="s">
        <v>41</v>
      </c>
      <c r="AA639" s="1" t="str">
        <f t="shared" si="19"/>
        <v>PVC Elbow 20mm</v>
      </c>
      <c r="AF639"/>
    </row>
    <row r="640" spans="1:32" x14ac:dyDescent="0.3">
      <c r="A640" s="10">
        <v>44468</v>
      </c>
      <c r="B640" s="3" t="s">
        <v>167</v>
      </c>
      <c r="C640" s="11" t="s">
        <v>262</v>
      </c>
      <c r="D640" s="12">
        <v>58.3</v>
      </c>
      <c r="E640" s="1">
        <v>13</v>
      </c>
      <c r="F640" s="13">
        <f>InputData[[#This Row],[QUANTITY]]*InputData[[#This Row],[UNIT PRICE (R)]]</f>
        <v>757.9</v>
      </c>
      <c r="G640" s="1" t="str">
        <f>VLOOKUP(InputData[[#This Row],[CUSTOMER NAME]],Country[],2,0)</f>
        <v>Ethiopia</v>
      </c>
      <c r="H640" s="1" t="str">
        <f>VLOOKUP(InputData[[#This Row],[CUSTOMER NAME]],Country[],3,0)</f>
        <v>Export</v>
      </c>
      <c r="I640" s="1" t="str">
        <f>TEXT(InputData[[#This Row],[DATE]],"mmmm")</f>
        <v>September</v>
      </c>
      <c r="J640" s="1" t="str">
        <f>TEXT(InputData[[#This Row],[DATE]],"ddd")</f>
        <v>Wed</v>
      </c>
      <c r="K640" s="14">
        <f>WEEKNUM(InputData[[#This Row],[DATE]])</f>
        <v>40</v>
      </c>
      <c r="N640"/>
      <c r="R640" s="3" t="s">
        <v>104</v>
      </c>
      <c r="S640" s="1" t="str">
        <f t="shared" si="18"/>
        <v>Radcliffe Mercantile</v>
      </c>
      <c r="V640"/>
      <c r="Z640" s="11" t="s">
        <v>44</v>
      </c>
      <c r="AA640" s="1" t="str">
        <f t="shared" si="19"/>
        <v>Brass Elbow Joint 20mm</v>
      </c>
      <c r="AF640"/>
    </row>
    <row r="641" spans="1:32" x14ac:dyDescent="0.3">
      <c r="A641" s="10">
        <v>44469</v>
      </c>
      <c r="B641" s="3" t="s">
        <v>143</v>
      </c>
      <c r="C641" s="11" t="s">
        <v>242</v>
      </c>
      <c r="D641" s="12">
        <v>146.72</v>
      </c>
      <c r="E641" s="1">
        <v>9</v>
      </c>
      <c r="F641" s="13">
        <f>InputData[[#This Row],[QUANTITY]]*InputData[[#This Row],[UNIT PRICE (R)]]</f>
        <v>1320.48</v>
      </c>
      <c r="G641" s="1" t="str">
        <f>VLOOKUP(InputData[[#This Row],[CUSTOMER NAME]],Country[],2,0)</f>
        <v>Nigeria</v>
      </c>
      <c r="H641" s="1" t="str">
        <f>VLOOKUP(InputData[[#This Row],[CUSTOMER NAME]],Country[],3,0)</f>
        <v>Export</v>
      </c>
      <c r="I641" s="1" t="str">
        <f>TEXT(InputData[[#This Row],[DATE]],"mmmm")</f>
        <v>September</v>
      </c>
      <c r="J641" s="1" t="str">
        <f>TEXT(InputData[[#This Row],[DATE]],"ddd")</f>
        <v>Thu</v>
      </c>
      <c r="K641" s="14">
        <f>WEEKNUM(InputData[[#This Row],[DATE]])</f>
        <v>40</v>
      </c>
      <c r="N641"/>
      <c r="R641" s="3" t="s">
        <v>72</v>
      </c>
      <c r="S641" s="1" t="str">
        <f t="shared" si="18"/>
        <v>Hendricks Mercantile</v>
      </c>
      <c r="V641"/>
      <c r="Z641" s="11" t="s">
        <v>34</v>
      </c>
      <c r="AA641" s="1" t="str">
        <f t="shared" si="19"/>
        <v>L-Bracket 75mm</v>
      </c>
      <c r="AF641"/>
    </row>
    <row r="642" spans="1:32" x14ac:dyDescent="0.3">
      <c r="A642" s="10">
        <v>44469</v>
      </c>
      <c r="B642" s="3" t="s">
        <v>179</v>
      </c>
      <c r="C642" s="11" t="s">
        <v>234</v>
      </c>
      <c r="D642" s="12">
        <v>85.5</v>
      </c>
      <c r="E642" s="1">
        <v>5</v>
      </c>
      <c r="F642" s="13">
        <f>InputData[[#This Row],[QUANTITY]]*InputData[[#This Row],[UNIT PRICE (R)]]</f>
        <v>427.5</v>
      </c>
      <c r="G642" s="1" t="str">
        <f>VLOOKUP(InputData[[#This Row],[CUSTOMER NAME]],Country[],2,0)</f>
        <v>United States of America</v>
      </c>
      <c r="H642" s="1" t="str">
        <f>VLOOKUP(InputData[[#This Row],[CUSTOMER NAME]],Country[],3,0)</f>
        <v>Export</v>
      </c>
      <c r="I642" s="1" t="str">
        <f>TEXT(InputData[[#This Row],[DATE]],"mmmm")</f>
        <v>September</v>
      </c>
      <c r="J642" s="1" t="str">
        <f>TEXT(InputData[[#This Row],[DATE]],"ddd")</f>
        <v>Thu</v>
      </c>
      <c r="K642" s="14">
        <f>WEEKNUM(InputData[[#This Row],[DATE]])</f>
        <v>40</v>
      </c>
      <c r="N642"/>
      <c r="R642" s="3" t="s">
        <v>48</v>
      </c>
      <c r="S642" s="1" t="str">
        <f t="shared" si="18"/>
        <v>Thornwell Trading</v>
      </c>
      <c r="V642"/>
      <c r="Z642" s="11" t="s">
        <v>14</v>
      </c>
      <c r="AA642" s="1" t="str">
        <f t="shared" si="19"/>
        <v>Cap Screw M6</v>
      </c>
      <c r="AF642"/>
    </row>
    <row r="643" spans="1:32" x14ac:dyDescent="0.3">
      <c r="A643" s="10">
        <v>44470</v>
      </c>
      <c r="B643" s="3" t="s">
        <v>171</v>
      </c>
      <c r="C643" s="11" t="s">
        <v>258</v>
      </c>
      <c r="D643" s="12">
        <v>201.28</v>
      </c>
      <c r="E643" s="1">
        <v>14</v>
      </c>
      <c r="F643" s="13">
        <f>InputData[[#This Row],[QUANTITY]]*InputData[[#This Row],[UNIT PRICE (R)]]</f>
        <v>2817.92</v>
      </c>
      <c r="G643" s="1" t="str">
        <f>VLOOKUP(InputData[[#This Row],[CUSTOMER NAME]],Country[],2,0)</f>
        <v>India</v>
      </c>
      <c r="H643" s="1" t="str">
        <f>VLOOKUP(InputData[[#This Row],[CUSTOMER NAME]],Country[],3,0)</f>
        <v>South</v>
      </c>
      <c r="I643" s="1" t="str">
        <f>TEXT(InputData[[#This Row],[DATE]],"mmmm")</f>
        <v>October</v>
      </c>
      <c r="J643" s="1" t="str">
        <f>TEXT(InputData[[#This Row],[DATE]],"ddd")</f>
        <v>Fri</v>
      </c>
      <c r="K643" s="14">
        <f>WEEKNUM(InputData[[#This Row],[DATE]])</f>
        <v>40</v>
      </c>
      <c r="N643"/>
      <c r="R643" s="3" t="s">
        <v>101</v>
      </c>
      <c r="S643" s="1" t="str">
        <f t="shared" si="18"/>
        <v>Hollowell Supply Co.</v>
      </c>
      <c r="V643"/>
      <c r="Z643" s="11" t="s">
        <v>6</v>
      </c>
      <c r="AA643" s="1" t="str">
        <f t="shared" si="19"/>
        <v>Flange Nut M10</v>
      </c>
      <c r="AF643"/>
    </row>
    <row r="644" spans="1:32" x14ac:dyDescent="0.3">
      <c r="A644" s="10">
        <v>44471</v>
      </c>
      <c r="B644" s="3" t="s">
        <v>150</v>
      </c>
      <c r="C644" s="11" t="s">
        <v>242</v>
      </c>
      <c r="D644" s="12">
        <v>146.72</v>
      </c>
      <c r="E644" s="1">
        <v>15</v>
      </c>
      <c r="F644" s="13">
        <f>InputData[[#This Row],[QUANTITY]]*InputData[[#This Row],[UNIT PRICE (R)]]</f>
        <v>2200.8000000000002</v>
      </c>
      <c r="G644" s="1" t="str">
        <f>VLOOKUP(InputData[[#This Row],[CUSTOMER NAME]],Country[],2,0)</f>
        <v>United Kingdom</v>
      </c>
      <c r="H644" s="1" t="str">
        <f>VLOOKUP(InputData[[#This Row],[CUSTOMER NAME]],Country[],3,0)</f>
        <v>Export</v>
      </c>
      <c r="I644" s="1" t="str">
        <f>TEXT(InputData[[#This Row],[DATE]],"mmmm")</f>
        <v>October</v>
      </c>
      <c r="J644" s="1" t="str">
        <f>TEXT(InputData[[#This Row],[DATE]],"ddd")</f>
        <v>Sat</v>
      </c>
      <c r="K644" s="14">
        <f>WEEKNUM(InputData[[#This Row],[DATE]])</f>
        <v>40</v>
      </c>
      <c r="N644"/>
      <c r="R644" s="3" t="s">
        <v>76</v>
      </c>
      <c r="S644" s="1" t="str">
        <f t="shared" si="18"/>
        <v>Overton Retail Solutions</v>
      </c>
      <c r="V644"/>
      <c r="Z644" s="11" t="s">
        <v>30</v>
      </c>
      <c r="AA644" s="1" t="str">
        <f t="shared" si="19"/>
        <v>Door Latch Set</v>
      </c>
      <c r="AF644"/>
    </row>
    <row r="645" spans="1:32" x14ac:dyDescent="0.3">
      <c r="A645" s="10">
        <v>44471</v>
      </c>
      <c r="B645" s="3" t="s">
        <v>153</v>
      </c>
      <c r="C645" s="11" t="s">
        <v>230</v>
      </c>
      <c r="D645" s="12">
        <v>142.80000000000001</v>
      </c>
      <c r="E645" s="1">
        <v>22</v>
      </c>
      <c r="F645" s="13">
        <f>InputData[[#This Row],[QUANTITY]]*InputData[[#This Row],[UNIT PRICE (R)]]</f>
        <v>3141.6000000000004</v>
      </c>
      <c r="G645" s="1" t="str">
        <f>VLOOKUP(InputData[[#This Row],[CUSTOMER NAME]],Country[],2,0)</f>
        <v>Mexico</v>
      </c>
      <c r="H645" s="1" t="str">
        <f>VLOOKUP(InputData[[#This Row],[CUSTOMER NAME]],Country[],3,0)</f>
        <v>Export</v>
      </c>
      <c r="I645" s="1" t="str">
        <f>TEXT(InputData[[#This Row],[DATE]],"mmmm")</f>
        <v>October</v>
      </c>
      <c r="J645" s="1" t="str">
        <f>TEXT(InputData[[#This Row],[DATE]],"ddd")</f>
        <v>Sat</v>
      </c>
      <c r="K645" s="14">
        <f>WEEKNUM(InputData[[#This Row],[DATE]])</f>
        <v>40</v>
      </c>
      <c r="N645"/>
      <c r="R645" s="3" t="s">
        <v>55</v>
      </c>
      <c r="S645" s="1" t="str">
        <f t="shared" si="18"/>
        <v>Silverline Wholesalers</v>
      </c>
      <c r="V645"/>
      <c r="Z645" s="11" t="s">
        <v>14</v>
      </c>
      <c r="AA645" s="1" t="str">
        <f t="shared" si="19"/>
        <v>Cap Screw M6</v>
      </c>
      <c r="AF645"/>
    </row>
    <row r="646" spans="1:32" x14ac:dyDescent="0.3">
      <c r="A646" s="10">
        <v>44472</v>
      </c>
      <c r="B646" s="3" t="s">
        <v>174</v>
      </c>
      <c r="C646" s="11" t="s">
        <v>247</v>
      </c>
      <c r="D646" s="12">
        <v>210</v>
      </c>
      <c r="E646" s="1">
        <v>9</v>
      </c>
      <c r="F646" s="13">
        <f>InputData[[#This Row],[QUANTITY]]*InputData[[#This Row],[UNIT PRICE (R)]]</f>
        <v>1890</v>
      </c>
      <c r="G646" s="1" t="str">
        <f>VLOOKUP(InputData[[#This Row],[CUSTOMER NAME]],Country[],2,0)</f>
        <v>Pakistan</v>
      </c>
      <c r="H646" s="1" t="str">
        <f>VLOOKUP(InputData[[#This Row],[CUSTOMER NAME]],Country[],3,0)</f>
        <v>Export</v>
      </c>
      <c r="I646" s="1" t="str">
        <f>TEXT(InputData[[#This Row],[DATE]],"mmmm")</f>
        <v>October</v>
      </c>
      <c r="J646" s="1" t="str">
        <f>TEXT(InputData[[#This Row],[DATE]],"ddd")</f>
        <v>Sun</v>
      </c>
      <c r="K646" s="14">
        <f>WEEKNUM(InputData[[#This Row],[DATE]])</f>
        <v>41</v>
      </c>
      <c r="N646"/>
      <c r="R646" s="3" t="s">
        <v>58</v>
      </c>
      <c r="S646" s="1" t="str">
        <f t="shared" si="18"/>
        <v>Redwood Mercantile</v>
      </c>
      <c r="V646"/>
      <c r="Z646" s="11" t="s">
        <v>2</v>
      </c>
      <c r="AA646" s="1" t="str">
        <f t="shared" si="19"/>
        <v>Hex Bolt M10</v>
      </c>
      <c r="AF646"/>
    </row>
    <row r="647" spans="1:32" x14ac:dyDescent="0.3">
      <c r="A647" s="10">
        <v>44472</v>
      </c>
      <c r="B647" s="3" t="s">
        <v>148</v>
      </c>
      <c r="C647" s="11" t="s">
        <v>269</v>
      </c>
      <c r="D647" s="12">
        <v>173.88</v>
      </c>
      <c r="E647" s="1">
        <v>23</v>
      </c>
      <c r="F647" s="13">
        <f>InputData[[#This Row],[QUANTITY]]*InputData[[#This Row],[UNIT PRICE (R)]]</f>
        <v>3999.24</v>
      </c>
      <c r="G647" s="1" t="str">
        <f>VLOOKUP(InputData[[#This Row],[CUSTOMER NAME]],Country[],2,0)</f>
        <v>Pakistan</v>
      </c>
      <c r="H647" s="1" t="str">
        <f>VLOOKUP(InputData[[#This Row],[CUSTOMER NAME]],Country[],3,0)</f>
        <v>Export</v>
      </c>
      <c r="I647" s="1" t="str">
        <f>TEXT(InputData[[#This Row],[DATE]],"mmmm")</f>
        <v>October</v>
      </c>
      <c r="J647" s="1" t="str">
        <f>TEXT(InputData[[#This Row],[DATE]],"ddd")</f>
        <v>Sun</v>
      </c>
      <c r="K647" s="14">
        <f>WEEKNUM(InputData[[#This Row],[DATE]])</f>
        <v>41</v>
      </c>
      <c r="N647"/>
      <c r="R647" s="3" t="s">
        <v>96</v>
      </c>
      <c r="S647" s="1" t="str">
        <f t="shared" ref="S647:S710" si="20">_xlfn.XLOOKUP(R647,$N$5:$N$64,$O$5:$O$64,"Not Found")</f>
        <v>Draycott Wholesalers</v>
      </c>
      <c r="V647"/>
      <c r="Z647" s="11" t="s">
        <v>19</v>
      </c>
      <c r="AA647" s="1" t="str">
        <f t="shared" ref="AA647:AA710" si="21">_xlfn.XLOOKUP(Z647,$V$5:$V$48,$W$5:$W$48,"Not Found",0)</f>
        <v>Anchor Bolt M10</v>
      </c>
      <c r="AF647"/>
    </row>
    <row r="648" spans="1:32" x14ac:dyDescent="0.3">
      <c r="A648" s="10">
        <v>44472</v>
      </c>
      <c r="B648" s="3" t="s">
        <v>156</v>
      </c>
      <c r="C648" s="11" t="s">
        <v>239</v>
      </c>
      <c r="D648" s="12">
        <v>48.4</v>
      </c>
      <c r="E648" s="1">
        <v>5</v>
      </c>
      <c r="F648" s="13">
        <f>InputData[[#This Row],[QUANTITY]]*InputData[[#This Row],[UNIT PRICE (R)]]</f>
        <v>242</v>
      </c>
      <c r="G648" s="1" t="str">
        <f>VLOOKUP(InputData[[#This Row],[CUSTOMER NAME]],Country[],2,0)</f>
        <v>India</v>
      </c>
      <c r="H648" s="1" t="str">
        <f>VLOOKUP(InputData[[#This Row],[CUSTOMER NAME]],Country[],3,0)</f>
        <v>East</v>
      </c>
      <c r="I648" s="1" t="str">
        <f>TEXT(InputData[[#This Row],[DATE]],"mmmm")</f>
        <v>October</v>
      </c>
      <c r="J648" s="1" t="str">
        <f>TEXT(InputData[[#This Row],[DATE]],"ddd")</f>
        <v>Sun</v>
      </c>
      <c r="K648" s="14">
        <f>WEEKNUM(InputData[[#This Row],[DATE]])</f>
        <v>41</v>
      </c>
      <c r="N648"/>
      <c r="R648" s="3" t="s">
        <v>53</v>
      </c>
      <c r="S648" s="1" t="str">
        <f t="shared" si="20"/>
        <v>Vantage Point Retailers</v>
      </c>
      <c r="V648"/>
      <c r="Z648" s="11" t="s">
        <v>41</v>
      </c>
      <c r="AA648" s="1" t="str">
        <f t="shared" si="21"/>
        <v>PVC Elbow 20mm</v>
      </c>
      <c r="AF648"/>
    </row>
    <row r="649" spans="1:32" x14ac:dyDescent="0.3">
      <c r="A649" s="10">
        <v>44473</v>
      </c>
      <c r="B649" s="3" t="s">
        <v>164</v>
      </c>
      <c r="C649" s="11" t="s">
        <v>235</v>
      </c>
      <c r="D649" s="12">
        <v>47.730000000000004</v>
      </c>
      <c r="E649" s="1">
        <v>15</v>
      </c>
      <c r="F649" s="13">
        <f>InputData[[#This Row],[QUANTITY]]*InputData[[#This Row],[UNIT PRICE (R)]]</f>
        <v>715.95</v>
      </c>
      <c r="G649" s="1" t="str">
        <f>VLOOKUP(InputData[[#This Row],[CUSTOMER NAME]],Country[],2,0)</f>
        <v>India</v>
      </c>
      <c r="H649" s="1" t="str">
        <f>VLOOKUP(InputData[[#This Row],[CUSTOMER NAME]],Country[],3,0)</f>
        <v>East</v>
      </c>
      <c r="I649" s="1" t="str">
        <f>TEXT(InputData[[#This Row],[DATE]],"mmmm")</f>
        <v>October</v>
      </c>
      <c r="J649" s="1" t="str">
        <f>TEXT(InputData[[#This Row],[DATE]],"ddd")</f>
        <v>Mon</v>
      </c>
      <c r="K649" s="14">
        <f>WEEKNUM(InputData[[#This Row],[DATE]])</f>
        <v>41</v>
      </c>
      <c r="N649"/>
      <c r="R649" s="3" t="s">
        <v>61</v>
      </c>
      <c r="S649" s="1" t="str">
        <f t="shared" si="20"/>
        <v>Fairstone Retail Group</v>
      </c>
      <c r="V649"/>
      <c r="Z649" s="11" t="s">
        <v>11</v>
      </c>
      <c r="AA649" s="1" t="str">
        <f t="shared" si="21"/>
        <v>Wood Screw 40mm</v>
      </c>
      <c r="AF649"/>
    </row>
    <row r="650" spans="1:32" x14ac:dyDescent="0.3">
      <c r="A650" s="10">
        <v>44474</v>
      </c>
      <c r="B650" s="3" t="s">
        <v>165</v>
      </c>
      <c r="C650" s="11" t="s">
        <v>252</v>
      </c>
      <c r="D650" s="12">
        <v>156.96</v>
      </c>
      <c r="E650" s="1">
        <v>36</v>
      </c>
      <c r="F650" s="13">
        <f>InputData[[#This Row],[QUANTITY]]*InputData[[#This Row],[UNIT PRICE (R)]]</f>
        <v>5650.56</v>
      </c>
      <c r="G650" s="1" t="str">
        <f>VLOOKUP(InputData[[#This Row],[CUSTOMER NAME]],Country[],2,0)</f>
        <v>India</v>
      </c>
      <c r="H650" s="1" t="str">
        <f>VLOOKUP(InputData[[#This Row],[CUSTOMER NAME]],Country[],3,0)</f>
        <v>Western</v>
      </c>
      <c r="I650" s="1" t="str">
        <f>TEXT(InputData[[#This Row],[DATE]],"mmmm")</f>
        <v>October</v>
      </c>
      <c r="J650" s="1" t="str">
        <f>TEXT(InputData[[#This Row],[DATE]],"ddd")</f>
        <v>Tue</v>
      </c>
      <c r="K650" s="14">
        <f>WEEKNUM(InputData[[#This Row],[DATE]])</f>
        <v>41</v>
      </c>
      <c r="N650"/>
      <c r="R650" s="3" t="s">
        <v>69</v>
      </c>
      <c r="S650" s="1" t="str">
        <f t="shared" si="20"/>
        <v>Southcote Industries</v>
      </c>
      <c r="V650"/>
      <c r="Z650" s="11" t="s">
        <v>7</v>
      </c>
      <c r="AA650" s="1" t="str">
        <f t="shared" si="21"/>
        <v>Lock Washer M8</v>
      </c>
      <c r="AF650"/>
    </row>
    <row r="651" spans="1:32" x14ac:dyDescent="0.3">
      <c r="A651" s="10">
        <v>44474</v>
      </c>
      <c r="B651" s="3" t="s">
        <v>168</v>
      </c>
      <c r="C651" s="11" t="s">
        <v>252</v>
      </c>
      <c r="D651" s="12">
        <v>156.96</v>
      </c>
      <c r="E651" s="1">
        <v>23</v>
      </c>
      <c r="F651" s="13">
        <f>InputData[[#This Row],[QUANTITY]]*InputData[[#This Row],[UNIT PRICE (R)]]</f>
        <v>3610.0800000000004</v>
      </c>
      <c r="G651" s="1" t="str">
        <f>VLOOKUP(InputData[[#This Row],[CUSTOMER NAME]],Country[],2,0)</f>
        <v>India</v>
      </c>
      <c r="H651" s="1" t="str">
        <f>VLOOKUP(InputData[[#This Row],[CUSTOMER NAME]],Country[],3,0)</f>
        <v>Northeast</v>
      </c>
      <c r="I651" s="1" t="str">
        <f>TEXT(InputData[[#This Row],[DATE]],"mmmm")</f>
        <v>October</v>
      </c>
      <c r="J651" s="1" t="str">
        <f>TEXT(InputData[[#This Row],[DATE]],"ddd")</f>
        <v>Tue</v>
      </c>
      <c r="K651" s="14">
        <f>WEEKNUM(InputData[[#This Row],[DATE]])</f>
        <v>41</v>
      </c>
      <c r="N651"/>
      <c r="R651" s="3" t="s">
        <v>70</v>
      </c>
      <c r="S651" s="1" t="str">
        <f t="shared" si="20"/>
        <v>Larkspur Retailers</v>
      </c>
      <c r="V651"/>
      <c r="Z651" s="11" t="s">
        <v>24</v>
      </c>
      <c r="AA651" s="1" t="str">
        <f t="shared" si="21"/>
        <v>Eye Bolt M10</v>
      </c>
      <c r="AF651"/>
    </row>
    <row r="652" spans="1:32" x14ac:dyDescent="0.3">
      <c r="A652" s="10">
        <v>44475</v>
      </c>
      <c r="B652" s="3" t="s">
        <v>146</v>
      </c>
      <c r="C652" s="11" t="s">
        <v>263</v>
      </c>
      <c r="D652" s="12">
        <v>6.7</v>
      </c>
      <c r="E652" s="1">
        <v>1</v>
      </c>
      <c r="F652" s="13">
        <f>InputData[[#This Row],[QUANTITY]]*InputData[[#This Row],[UNIT PRICE (R)]]</f>
        <v>6.7</v>
      </c>
      <c r="G652" s="1" t="str">
        <f>VLOOKUP(InputData[[#This Row],[CUSTOMER NAME]],Country[],2,0)</f>
        <v>Saudi Arabia</v>
      </c>
      <c r="H652" s="1" t="str">
        <f>VLOOKUP(InputData[[#This Row],[CUSTOMER NAME]],Country[],3,0)</f>
        <v>Export</v>
      </c>
      <c r="I652" s="1" t="str">
        <f>TEXT(InputData[[#This Row],[DATE]],"mmmm")</f>
        <v>October</v>
      </c>
      <c r="J652" s="1" t="str">
        <f>TEXT(InputData[[#This Row],[DATE]],"ddd")</f>
        <v>Wed</v>
      </c>
      <c r="K652" s="14">
        <f>WEEKNUM(InputData[[#This Row],[DATE]])</f>
        <v>41</v>
      </c>
      <c r="N652"/>
      <c r="R652" s="3" t="s">
        <v>73</v>
      </c>
      <c r="S652" s="1" t="str">
        <f t="shared" si="20"/>
        <v>Ashworth Trading Group</v>
      </c>
      <c r="V652"/>
      <c r="Z652" s="11" t="s">
        <v>24</v>
      </c>
      <c r="AA652" s="1" t="str">
        <f t="shared" si="21"/>
        <v>Eye Bolt M10</v>
      </c>
      <c r="AF652"/>
    </row>
    <row r="653" spans="1:32" x14ac:dyDescent="0.3">
      <c r="A653" s="10">
        <v>44475</v>
      </c>
      <c r="B653" s="3" t="s">
        <v>153</v>
      </c>
      <c r="C653" s="11" t="s">
        <v>236</v>
      </c>
      <c r="D653" s="12">
        <v>94.62</v>
      </c>
      <c r="E653" s="1">
        <v>23</v>
      </c>
      <c r="F653" s="13">
        <f>InputData[[#This Row],[QUANTITY]]*InputData[[#This Row],[UNIT PRICE (R)]]</f>
        <v>2176.2600000000002</v>
      </c>
      <c r="G653" s="1" t="str">
        <f>VLOOKUP(InputData[[#This Row],[CUSTOMER NAME]],Country[],2,0)</f>
        <v>Mexico</v>
      </c>
      <c r="H653" s="1" t="str">
        <f>VLOOKUP(InputData[[#This Row],[CUSTOMER NAME]],Country[],3,0)</f>
        <v>Export</v>
      </c>
      <c r="I653" s="1" t="str">
        <f>TEXT(InputData[[#This Row],[DATE]],"mmmm")</f>
        <v>October</v>
      </c>
      <c r="J653" s="1" t="str">
        <f>TEXT(InputData[[#This Row],[DATE]],"ddd")</f>
        <v>Wed</v>
      </c>
      <c r="K653" s="14">
        <f>WEEKNUM(InputData[[#This Row],[DATE]])</f>
        <v>41</v>
      </c>
      <c r="N653"/>
      <c r="R653" s="3" t="s">
        <v>51</v>
      </c>
      <c r="S653" s="1" t="str">
        <f t="shared" si="20"/>
        <v>Coastal Fittings Ltd</v>
      </c>
      <c r="V653"/>
      <c r="Z653" s="11" t="s">
        <v>35</v>
      </c>
      <c r="AA653" s="1" t="str">
        <f t="shared" si="21"/>
        <v>T-Bracket 100mm</v>
      </c>
      <c r="AF653"/>
    </row>
    <row r="654" spans="1:32" x14ac:dyDescent="0.3">
      <c r="A654" s="10">
        <v>44475</v>
      </c>
      <c r="B654" s="3" t="s">
        <v>154</v>
      </c>
      <c r="C654" s="11" t="s">
        <v>271</v>
      </c>
      <c r="D654" s="12">
        <v>83.08</v>
      </c>
      <c r="E654" s="1">
        <v>17</v>
      </c>
      <c r="F654" s="13">
        <f>InputData[[#This Row],[QUANTITY]]*InputData[[#This Row],[UNIT PRICE (R)]]</f>
        <v>1412.36</v>
      </c>
      <c r="G654" s="1" t="str">
        <f>VLOOKUP(InputData[[#This Row],[CUSTOMER NAME]],Country[],2,0)</f>
        <v>India</v>
      </c>
      <c r="H654" s="1" t="str">
        <f>VLOOKUP(InputData[[#This Row],[CUSTOMER NAME]],Country[],3,0)</f>
        <v>Central</v>
      </c>
      <c r="I654" s="1" t="str">
        <f>TEXT(InputData[[#This Row],[DATE]],"mmmm")</f>
        <v>October</v>
      </c>
      <c r="J654" s="1" t="str">
        <f>TEXT(InputData[[#This Row],[DATE]],"ddd")</f>
        <v>Wed</v>
      </c>
      <c r="K654" s="14">
        <f>WEEKNUM(InputData[[#This Row],[DATE]])</f>
        <v>41</v>
      </c>
      <c r="N654"/>
      <c r="R654" s="3" t="s">
        <v>58</v>
      </c>
      <c r="S654" s="1" t="str">
        <f t="shared" si="20"/>
        <v>Redwood Mercantile</v>
      </c>
      <c r="V654"/>
      <c r="Z654" s="11" t="s">
        <v>8</v>
      </c>
      <c r="AA654" s="1" t="str">
        <f t="shared" si="21"/>
        <v>Flat Washer M10</v>
      </c>
      <c r="AF654"/>
    </row>
    <row r="655" spans="1:32" x14ac:dyDescent="0.3">
      <c r="A655" s="10">
        <v>44475</v>
      </c>
      <c r="B655" s="3" t="s">
        <v>157</v>
      </c>
      <c r="C655" s="11" t="s">
        <v>249</v>
      </c>
      <c r="D655" s="12">
        <v>162.54</v>
      </c>
      <c r="E655" s="1">
        <v>10</v>
      </c>
      <c r="F655" s="13">
        <f>InputData[[#This Row],[QUANTITY]]*InputData[[#This Row],[UNIT PRICE (R)]]</f>
        <v>1625.3999999999999</v>
      </c>
      <c r="G655" s="1" t="str">
        <f>VLOOKUP(InputData[[#This Row],[CUSTOMER NAME]],Country[],2,0)</f>
        <v>Brazil</v>
      </c>
      <c r="H655" s="1" t="str">
        <f>VLOOKUP(InputData[[#This Row],[CUSTOMER NAME]],Country[],3,0)</f>
        <v>Export</v>
      </c>
      <c r="I655" s="1" t="str">
        <f>TEXT(InputData[[#This Row],[DATE]],"mmmm")</f>
        <v>October</v>
      </c>
      <c r="J655" s="1" t="str">
        <f>TEXT(InputData[[#This Row],[DATE]],"ddd")</f>
        <v>Wed</v>
      </c>
      <c r="K655" s="14">
        <f>WEEKNUM(InputData[[#This Row],[DATE]])</f>
        <v>41</v>
      </c>
      <c r="N655"/>
      <c r="R655" s="3" t="s">
        <v>59</v>
      </c>
      <c r="S655" s="1" t="str">
        <f t="shared" si="20"/>
        <v>Bellview Enterprises</v>
      </c>
      <c r="V655"/>
      <c r="Z655" s="11" t="s">
        <v>43</v>
      </c>
      <c r="AA655" s="1" t="str">
        <f t="shared" si="21"/>
        <v>Copper Pipe Fitting 15mm</v>
      </c>
      <c r="AF655"/>
    </row>
    <row r="656" spans="1:32" x14ac:dyDescent="0.3">
      <c r="A656" s="10">
        <v>44475</v>
      </c>
      <c r="B656" s="3" t="s">
        <v>160</v>
      </c>
      <c r="C656" s="11" t="s">
        <v>264</v>
      </c>
      <c r="D656" s="12">
        <v>96.3</v>
      </c>
      <c r="E656" s="1">
        <v>12</v>
      </c>
      <c r="F656" s="13">
        <f>InputData[[#This Row],[QUANTITY]]*InputData[[#This Row],[UNIT PRICE (R)]]</f>
        <v>1155.5999999999999</v>
      </c>
      <c r="G656" s="1" t="str">
        <f>VLOOKUP(InputData[[#This Row],[CUSTOMER NAME]],Country[],2,0)</f>
        <v>India</v>
      </c>
      <c r="H656" s="1" t="str">
        <f>VLOOKUP(InputData[[#This Row],[CUSTOMER NAME]],Country[],3,0)</f>
        <v>Western</v>
      </c>
      <c r="I656" s="1" t="str">
        <f>TEXT(InputData[[#This Row],[DATE]],"mmmm")</f>
        <v>October</v>
      </c>
      <c r="J656" s="1" t="str">
        <f>TEXT(InputData[[#This Row],[DATE]],"ddd")</f>
        <v>Wed</v>
      </c>
      <c r="K656" s="14">
        <f>WEEKNUM(InputData[[#This Row],[DATE]])</f>
        <v>41</v>
      </c>
      <c r="N656"/>
      <c r="R656" s="3" t="s">
        <v>62</v>
      </c>
      <c r="S656" s="1" t="str">
        <f t="shared" si="20"/>
        <v>Marchbank Traders</v>
      </c>
      <c r="V656"/>
      <c r="Z656" s="11" t="s">
        <v>21</v>
      </c>
      <c r="AA656" s="1" t="str">
        <f t="shared" si="21"/>
        <v>Pipe Clamp 25mm</v>
      </c>
      <c r="AF656"/>
    </row>
    <row r="657" spans="1:32" x14ac:dyDescent="0.3">
      <c r="A657" s="10">
        <v>44475</v>
      </c>
      <c r="B657" s="3" t="s">
        <v>182</v>
      </c>
      <c r="C657" s="11" t="s">
        <v>263</v>
      </c>
      <c r="D657" s="12">
        <v>6.7</v>
      </c>
      <c r="E657" s="1">
        <v>1</v>
      </c>
      <c r="F657" s="13">
        <f>InputData[[#This Row],[QUANTITY]]*InputData[[#This Row],[UNIT PRICE (R)]]</f>
        <v>6.7</v>
      </c>
      <c r="G657" s="1" t="str">
        <f>VLOOKUP(InputData[[#This Row],[CUSTOMER NAME]],Country[],2,0)</f>
        <v>United States of America</v>
      </c>
      <c r="H657" s="1" t="str">
        <f>VLOOKUP(InputData[[#This Row],[CUSTOMER NAME]],Country[],3,0)</f>
        <v>Export</v>
      </c>
      <c r="I657" s="1" t="str">
        <f>TEXT(InputData[[#This Row],[DATE]],"mmmm")</f>
        <v>October</v>
      </c>
      <c r="J657" s="1" t="str">
        <f>TEXT(InputData[[#This Row],[DATE]],"ddd")</f>
        <v>Wed</v>
      </c>
      <c r="K657" s="14">
        <f>WEEKNUM(InputData[[#This Row],[DATE]])</f>
        <v>41</v>
      </c>
      <c r="N657"/>
      <c r="R657" s="3" t="s">
        <v>65</v>
      </c>
      <c r="S657" s="1" t="str">
        <f t="shared" si="20"/>
        <v>Talbot Street Merchants</v>
      </c>
      <c r="V657"/>
      <c r="Z657" s="11" t="s">
        <v>36</v>
      </c>
      <c r="AA657" s="1" t="str">
        <f t="shared" si="21"/>
        <v>Mending Plate 100mm</v>
      </c>
      <c r="AF657"/>
    </row>
    <row r="658" spans="1:32" x14ac:dyDescent="0.3">
      <c r="A658" s="10">
        <v>44476</v>
      </c>
      <c r="B658" s="3" t="s">
        <v>157</v>
      </c>
      <c r="C658" s="11" t="s">
        <v>254</v>
      </c>
      <c r="D658" s="12">
        <v>24.66</v>
      </c>
      <c r="E658" s="1">
        <v>6</v>
      </c>
      <c r="F658" s="13">
        <f>InputData[[#This Row],[QUANTITY]]*InputData[[#This Row],[UNIT PRICE (R)]]</f>
        <v>147.96</v>
      </c>
      <c r="G658" s="1" t="str">
        <f>VLOOKUP(InputData[[#This Row],[CUSTOMER NAME]],Country[],2,0)</f>
        <v>Brazil</v>
      </c>
      <c r="H658" s="1" t="str">
        <f>VLOOKUP(InputData[[#This Row],[CUSTOMER NAME]],Country[],3,0)</f>
        <v>Export</v>
      </c>
      <c r="I658" s="1" t="str">
        <f>TEXT(InputData[[#This Row],[DATE]],"mmmm")</f>
        <v>October</v>
      </c>
      <c r="J658" s="1" t="str">
        <f>TEXT(InputData[[#This Row],[DATE]],"ddd")</f>
        <v>Thu</v>
      </c>
      <c r="K658" s="14">
        <f>WEEKNUM(InputData[[#This Row],[DATE]])</f>
        <v>41</v>
      </c>
      <c r="N658"/>
      <c r="R658" s="3" t="s">
        <v>104</v>
      </c>
      <c r="S658" s="1" t="str">
        <f t="shared" si="20"/>
        <v>Radcliffe Mercantile</v>
      </c>
      <c r="V658"/>
      <c r="Z658" s="11" t="s">
        <v>35</v>
      </c>
      <c r="AA658" s="1" t="str">
        <f t="shared" si="21"/>
        <v>T-Bracket 100mm</v>
      </c>
      <c r="AF658"/>
    </row>
    <row r="659" spans="1:32" x14ac:dyDescent="0.3">
      <c r="A659" s="10">
        <v>44478</v>
      </c>
      <c r="B659" s="3" t="s">
        <v>143</v>
      </c>
      <c r="C659" s="11" t="s">
        <v>266</v>
      </c>
      <c r="D659" s="12">
        <v>79.92</v>
      </c>
      <c r="E659" s="1">
        <v>14</v>
      </c>
      <c r="F659" s="13">
        <f>InputData[[#This Row],[QUANTITY]]*InputData[[#This Row],[UNIT PRICE (R)]]</f>
        <v>1118.8800000000001</v>
      </c>
      <c r="G659" s="1" t="str">
        <f>VLOOKUP(InputData[[#This Row],[CUSTOMER NAME]],Country[],2,0)</f>
        <v>Nigeria</v>
      </c>
      <c r="H659" s="1" t="str">
        <f>VLOOKUP(InputData[[#This Row],[CUSTOMER NAME]],Country[],3,0)</f>
        <v>Export</v>
      </c>
      <c r="I659" s="1" t="str">
        <f>TEXT(InputData[[#This Row],[DATE]],"mmmm")</f>
        <v>October</v>
      </c>
      <c r="J659" s="1" t="str">
        <f>TEXT(InputData[[#This Row],[DATE]],"ddd")</f>
        <v>Sat</v>
      </c>
      <c r="K659" s="14">
        <f>WEEKNUM(InputData[[#This Row],[DATE]])</f>
        <v>41</v>
      </c>
      <c r="N659"/>
      <c r="R659" s="3" t="s">
        <v>62</v>
      </c>
      <c r="S659" s="1" t="str">
        <f t="shared" si="20"/>
        <v>Marchbank Traders</v>
      </c>
      <c r="V659"/>
      <c r="Z659" s="11" t="s">
        <v>26</v>
      </c>
      <c r="AA659" s="1" t="str">
        <f t="shared" si="21"/>
        <v>Chain Link 6mm</v>
      </c>
      <c r="AF659"/>
    </row>
    <row r="660" spans="1:32" x14ac:dyDescent="0.3">
      <c r="A660" s="10">
        <v>44478</v>
      </c>
      <c r="B660" s="3" t="s">
        <v>144</v>
      </c>
      <c r="C660" s="11" t="s">
        <v>266</v>
      </c>
      <c r="D660" s="12">
        <v>79.92</v>
      </c>
      <c r="E660" s="1">
        <v>5</v>
      </c>
      <c r="F660" s="13">
        <f>InputData[[#This Row],[QUANTITY]]*InputData[[#This Row],[UNIT PRICE (R)]]</f>
        <v>399.6</v>
      </c>
      <c r="G660" s="1" t="str">
        <f>VLOOKUP(InputData[[#This Row],[CUSTOMER NAME]],Country[],2,0)</f>
        <v>Bangladesh</v>
      </c>
      <c r="H660" s="1" t="str">
        <f>VLOOKUP(InputData[[#This Row],[CUSTOMER NAME]],Country[],3,0)</f>
        <v>Export</v>
      </c>
      <c r="I660" s="1" t="str">
        <f>TEXT(InputData[[#This Row],[DATE]],"mmmm")</f>
        <v>October</v>
      </c>
      <c r="J660" s="1" t="str">
        <f>TEXT(InputData[[#This Row],[DATE]],"ddd")</f>
        <v>Sat</v>
      </c>
      <c r="K660" s="14">
        <f>WEEKNUM(InputData[[#This Row],[DATE]])</f>
        <v>41</v>
      </c>
      <c r="N660"/>
      <c r="R660" s="3" t="s">
        <v>48</v>
      </c>
      <c r="S660" s="1" t="str">
        <f t="shared" si="20"/>
        <v>Thornwell Trading</v>
      </c>
      <c r="V660"/>
      <c r="Z660" s="11" t="s">
        <v>38</v>
      </c>
      <c r="AA660" s="1" t="str">
        <f t="shared" si="21"/>
        <v>Cable Tie 300mm</v>
      </c>
      <c r="AF660"/>
    </row>
    <row r="661" spans="1:32" x14ac:dyDescent="0.3">
      <c r="A661" s="10">
        <v>44478</v>
      </c>
      <c r="B661" s="3" t="s">
        <v>156</v>
      </c>
      <c r="C661" s="11" t="s">
        <v>260</v>
      </c>
      <c r="D661" s="12">
        <v>117.48</v>
      </c>
      <c r="E661" s="1">
        <v>11</v>
      </c>
      <c r="F661" s="13">
        <f>InputData[[#This Row],[QUANTITY]]*InputData[[#This Row],[UNIT PRICE (R)]]</f>
        <v>1292.28</v>
      </c>
      <c r="G661" s="1" t="str">
        <f>VLOOKUP(InputData[[#This Row],[CUSTOMER NAME]],Country[],2,0)</f>
        <v>India</v>
      </c>
      <c r="H661" s="1" t="str">
        <f>VLOOKUP(InputData[[#This Row],[CUSTOMER NAME]],Country[],3,0)</f>
        <v>East</v>
      </c>
      <c r="I661" s="1" t="str">
        <f>TEXT(InputData[[#This Row],[DATE]],"mmmm")</f>
        <v>October</v>
      </c>
      <c r="J661" s="1" t="str">
        <f>TEXT(InputData[[#This Row],[DATE]],"ddd")</f>
        <v>Sat</v>
      </c>
      <c r="K661" s="14">
        <f>WEEKNUM(InputData[[#This Row],[DATE]])</f>
        <v>41</v>
      </c>
      <c r="N661"/>
      <c r="R661" s="3" t="s">
        <v>49</v>
      </c>
      <c r="S661" s="1" t="str">
        <f t="shared" si="20"/>
        <v>Baxter &amp; Kline Supplies</v>
      </c>
      <c r="V661"/>
      <c r="Z661" s="11" t="s">
        <v>38</v>
      </c>
      <c r="AA661" s="1" t="str">
        <f t="shared" si="21"/>
        <v>Cable Tie 300mm</v>
      </c>
      <c r="AF661"/>
    </row>
    <row r="662" spans="1:32" x14ac:dyDescent="0.3">
      <c r="A662" s="10">
        <v>44479</v>
      </c>
      <c r="B662" s="3" t="s">
        <v>146</v>
      </c>
      <c r="C662" s="11" t="s">
        <v>263</v>
      </c>
      <c r="D662" s="12">
        <v>6.7</v>
      </c>
      <c r="E662" s="1">
        <v>14</v>
      </c>
      <c r="F662" s="13">
        <f>InputData[[#This Row],[QUANTITY]]*InputData[[#This Row],[UNIT PRICE (R)]]</f>
        <v>93.8</v>
      </c>
      <c r="G662" s="1" t="str">
        <f>VLOOKUP(InputData[[#This Row],[CUSTOMER NAME]],Country[],2,0)</f>
        <v>Saudi Arabia</v>
      </c>
      <c r="H662" s="1" t="str">
        <f>VLOOKUP(InputData[[#This Row],[CUSTOMER NAME]],Country[],3,0)</f>
        <v>Export</v>
      </c>
      <c r="I662" s="1" t="str">
        <f>TEXT(InputData[[#This Row],[DATE]],"mmmm")</f>
        <v>October</v>
      </c>
      <c r="J662" s="1" t="str">
        <f>TEXT(InputData[[#This Row],[DATE]],"ddd")</f>
        <v>Sun</v>
      </c>
      <c r="K662" s="14">
        <f>WEEKNUM(InputData[[#This Row],[DATE]])</f>
        <v>42</v>
      </c>
      <c r="N662"/>
      <c r="R662" s="3" t="s">
        <v>61</v>
      </c>
      <c r="S662" s="1" t="str">
        <f t="shared" si="20"/>
        <v>Fairstone Retail Group</v>
      </c>
      <c r="V662"/>
      <c r="Z662" s="11" t="s">
        <v>32</v>
      </c>
      <c r="AA662" s="1" t="str">
        <f t="shared" si="21"/>
        <v>Corner Bracket 50mm</v>
      </c>
      <c r="AF662"/>
    </row>
    <row r="663" spans="1:32" x14ac:dyDescent="0.3">
      <c r="A663" s="10">
        <v>44479</v>
      </c>
      <c r="B663" s="3" t="s">
        <v>146</v>
      </c>
      <c r="C663" s="11" t="s">
        <v>247</v>
      </c>
      <c r="D663" s="12">
        <v>210</v>
      </c>
      <c r="E663" s="1">
        <v>9</v>
      </c>
      <c r="F663" s="13">
        <f>InputData[[#This Row],[QUANTITY]]*InputData[[#This Row],[UNIT PRICE (R)]]</f>
        <v>1890</v>
      </c>
      <c r="G663" s="1" t="str">
        <f>VLOOKUP(InputData[[#This Row],[CUSTOMER NAME]],Country[],2,0)</f>
        <v>Saudi Arabia</v>
      </c>
      <c r="H663" s="1" t="str">
        <f>VLOOKUP(InputData[[#This Row],[CUSTOMER NAME]],Country[],3,0)</f>
        <v>Export</v>
      </c>
      <c r="I663" s="1" t="str">
        <f>TEXT(InputData[[#This Row],[DATE]],"mmmm")</f>
        <v>October</v>
      </c>
      <c r="J663" s="1" t="str">
        <f>TEXT(InputData[[#This Row],[DATE]],"ddd")</f>
        <v>Sun</v>
      </c>
      <c r="K663" s="14">
        <f>WEEKNUM(InputData[[#This Row],[DATE]])</f>
        <v>42</v>
      </c>
      <c r="N663"/>
      <c r="R663" s="3" t="s">
        <v>51</v>
      </c>
      <c r="S663" s="1" t="str">
        <f t="shared" si="20"/>
        <v>Coastal Fittings Ltd</v>
      </c>
      <c r="V663"/>
      <c r="Z663" s="11" t="s">
        <v>35</v>
      </c>
      <c r="AA663" s="1" t="str">
        <f t="shared" si="21"/>
        <v>T-Bracket 100mm</v>
      </c>
      <c r="AF663"/>
    </row>
    <row r="664" spans="1:32" x14ac:dyDescent="0.3">
      <c r="A664" s="10">
        <v>44479</v>
      </c>
      <c r="B664" s="3" t="s">
        <v>157</v>
      </c>
      <c r="C664" s="11" t="s">
        <v>272</v>
      </c>
      <c r="D664" s="12">
        <v>82.08</v>
      </c>
      <c r="E664" s="1">
        <v>12</v>
      </c>
      <c r="F664" s="13">
        <f>InputData[[#This Row],[QUANTITY]]*InputData[[#This Row],[UNIT PRICE (R)]]</f>
        <v>984.96</v>
      </c>
      <c r="G664" s="1" t="str">
        <f>VLOOKUP(InputData[[#This Row],[CUSTOMER NAME]],Country[],2,0)</f>
        <v>Brazil</v>
      </c>
      <c r="H664" s="1" t="str">
        <f>VLOOKUP(InputData[[#This Row],[CUSTOMER NAME]],Country[],3,0)</f>
        <v>Export</v>
      </c>
      <c r="I664" s="1" t="str">
        <f>TEXT(InputData[[#This Row],[DATE]],"mmmm")</f>
        <v>October</v>
      </c>
      <c r="J664" s="1" t="str">
        <f>TEXT(InputData[[#This Row],[DATE]],"ddd")</f>
        <v>Sun</v>
      </c>
      <c r="K664" s="14">
        <f>WEEKNUM(InputData[[#This Row],[DATE]])</f>
        <v>42</v>
      </c>
      <c r="N664"/>
      <c r="R664" s="3" t="s">
        <v>51</v>
      </c>
      <c r="S664" s="1" t="str">
        <f t="shared" si="20"/>
        <v>Coastal Fittings Ltd</v>
      </c>
      <c r="V664"/>
      <c r="Z664" s="11" t="s">
        <v>19</v>
      </c>
      <c r="AA664" s="1" t="str">
        <f t="shared" si="21"/>
        <v>Anchor Bolt M10</v>
      </c>
      <c r="AF664"/>
    </row>
    <row r="665" spans="1:32" x14ac:dyDescent="0.3">
      <c r="A665" s="10">
        <v>44480</v>
      </c>
      <c r="B665" s="3" t="s">
        <v>165</v>
      </c>
      <c r="C665" s="11" t="s">
        <v>236</v>
      </c>
      <c r="D665" s="12">
        <v>94.62</v>
      </c>
      <c r="E665" s="1">
        <v>10</v>
      </c>
      <c r="F665" s="13">
        <f>InputData[[#This Row],[QUANTITY]]*InputData[[#This Row],[UNIT PRICE (R)]]</f>
        <v>946.2</v>
      </c>
      <c r="G665" s="1" t="str">
        <f>VLOOKUP(InputData[[#This Row],[CUSTOMER NAME]],Country[],2,0)</f>
        <v>India</v>
      </c>
      <c r="H665" s="1" t="str">
        <f>VLOOKUP(InputData[[#This Row],[CUSTOMER NAME]],Country[],3,0)</f>
        <v>Western</v>
      </c>
      <c r="I665" s="1" t="str">
        <f>TEXT(InputData[[#This Row],[DATE]],"mmmm")</f>
        <v>October</v>
      </c>
      <c r="J665" s="1" t="str">
        <f>TEXT(InputData[[#This Row],[DATE]],"ddd")</f>
        <v>Mon</v>
      </c>
      <c r="K665" s="14">
        <f>WEEKNUM(InputData[[#This Row],[DATE]])</f>
        <v>42</v>
      </c>
      <c r="N665"/>
      <c r="R665" s="3" t="s">
        <v>62</v>
      </c>
      <c r="S665" s="1" t="str">
        <f t="shared" si="20"/>
        <v>Marchbank Traders</v>
      </c>
      <c r="V665"/>
      <c r="Z665" s="11" t="s">
        <v>44</v>
      </c>
      <c r="AA665" s="1" t="str">
        <f t="shared" si="21"/>
        <v>Brass Elbow Joint 20mm</v>
      </c>
      <c r="AF665"/>
    </row>
    <row r="666" spans="1:32" x14ac:dyDescent="0.3">
      <c r="A666" s="10">
        <v>44480</v>
      </c>
      <c r="B666" s="3" t="s">
        <v>167</v>
      </c>
      <c r="C666" s="11" t="s">
        <v>239</v>
      </c>
      <c r="D666" s="12">
        <v>48.4</v>
      </c>
      <c r="E666" s="1">
        <v>15</v>
      </c>
      <c r="F666" s="13">
        <f>InputData[[#This Row],[QUANTITY]]*InputData[[#This Row],[UNIT PRICE (R)]]</f>
        <v>726</v>
      </c>
      <c r="G666" s="1" t="str">
        <f>VLOOKUP(InputData[[#This Row],[CUSTOMER NAME]],Country[],2,0)</f>
        <v>Ethiopia</v>
      </c>
      <c r="H666" s="1" t="str">
        <f>VLOOKUP(InputData[[#This Row],[CUSTOMER NAME]],Country[],3,0)</f>
        <v>Export</v>
      </c>
      <c r="I666" s="1" t="str">
        <f>TEXT(InputData[[#This Row],[DATE]],"mmmm")</f>
        <v>October</v>
      </c>
      <c r="J666" s="1" t="str">
        <f>TEXT(InputData[[#This Row],[DATE]],"ddd")</f>
        <v>Mon</v>
      </c>
      <c r="K666" s="14">
        <f>WEEKNUM(InputData[[#This Row],[DATE]])</f>
        <v>42</v>
      </c>
      <c r="N666"/>
      <c r="R666" s="3" t="s">
        <v>70</v>
      </c>
      <c r="S666" s="1" t="str">
        <f t="shared" si="20"/>
        <v>Larkspur Retailers</v>
      </c>
      <c r="V666"/>
      <c r="Z666" s="11" t="s">
        <v>8</v>
      </c>
      <c r="AA666" s="1" t="str">
        <f t="shared" si="21"/>
        <v>Flat Washer M10</v>
      </c>
      <c r="AF666"/>
    </row>
    <row r="667" spans="1:32" x14ac:dyDescent="0.3">
      <c r="A667" s="10">
        <v>44481</v>
      </c>
      <c r="B667" s="3" t="s">
        <v>158</v>
      </c>
      <c r="C667" s="11" t="s">
        <v>255</v>
      </c>
      <c r="D667" s="12">
        <v>57.120000000000005</v>
      </c>
      <c r="E667" s="1">
        <v>8</v>
      </c>
      <c r="F667" s="13">
        <f>InputData[[#This Row],[QUANTITY]]*InputData[[#This Row],[UNIT PRICE (R)]]</f>
        <v>456.96000000000004</v>
      </c>
      <c r="G667" s="1" t="str">
        <f>VLOOKUP(InputData[[#This Row],[CUSTOMER NAME]],Country[],2,0)</f>
        <v>Russia</v>
      </c>
      <c r="H667" s="1" t="str">
        <f>VLOOKUP(InputData[[#This Row],[CUSTOMER NAME]],Country[],3,0)</f>
        <v>Export</v>
      </c>
      <c r="I667" s="1" t="str">
        <f>TEXT(InputData[[#This Row],[DATE]],"mmmm")</f>
        <v>October</v>
      </c>
      <c r="J667" s="1" t="str">
        <f>TEXT(InputData[[#This Row],[DATE]],"ddd")</f>
        <v>Tue</v>
      </c>
      <c r="K667" s="14">
        <f>WEEKNUM(InputData[[#This Row],[DATE]])</f>
        <v>42</v>
      </c>
      <c r="N667"/>
      <c r="R667" s="3" t="s">
        <v>72</v>
      </c>
      <c r="S667" s="1" t="str">
        <f t="shared" si="20"/>
        <v>Hendricks Mercantile</v>
      </c>
      <c r="V667"/>
      <c r="Z667" s="11" t="s">
        <v>11</v>
      </c>
      <c r="AA667" s="1" t="str">
        <f t="shared" si="21"/>
        <v>Wood Screw 40mm</v>
      </c>
      <c r="AF667"/>
    </row>
    <row r="668" spans="1:32" x14ac:dyDescent="0.3">
      <c r="A668" s="10">
        <v>44482</v>
      </c>
      <c r="B668" s="3" t="s">
        <v>144</v>
      </c>
      <c r="C668" s="11" t="s">
        <v>230</v>
      </c>
      <c r="D668" s="12">
        <v>142.80000000000001</v>
      </c>
      <c r="E668" s="1">
        <v>15</v>
      </c>
      <c r="F668" s="13">
        <f>InputData[[#This Row],[QUANTITY]]*InputData[[#This Row],[UNIT PRICE (R)]]</f>
        <v>2142</v>
      </c>
      <c r="G668" s="1" t="str">
        <f>VLOOKUP(InputData[[#This Row],[CUSTOMER NAME]],Country[],2,0)</f>
        <v>Bangladesh</v>
      </c>
      <c r="H668" s="1" t="str">
        <f>VLOOKUP(InputData[[#This Row],[CUSTOMER NAME]],Country[],3,0)</f>
        <v>Export</v>
      </c>
      <c r="I668" s="1" t="str">
        <f>TEXT(InputData[[#This Row],[DATE]],"mmmm")</f>
        <v>October</v>
      </c>
      <c r="J668" s="1" t="str">
        <f>TEXT(InputData[[#This Row],[DATE]],"ddd")</f>
        <v>Wed</v>
      </c>
      <c r="K668" s="14">
        <f>WEEKNUM(InputData[[#This Row],[DATE]])</f>
        <v>42</v>
      </c>
      <c r="N668"/>
      <c r="R668" s="3" t="s">
        <v>63</v>
      </c>
      <c r="S668" s="1" t="str">
        <f t="shared" si="20"/>
        <v>Ovenden &amp; Sons</v>
      </c>
      <c r="V668"/>
      <c r="Z668" s="11" t="s">
        <v>27</v>
      </c>
      <c r="AA668" s="1" t="str">
        <f t="shared" si="21"/>
        <v>Padlock Hasp 100mm</v>
      </c>
      <c r="AF668"/>
    </row>
    <row r="669" spans="1:32" x14ac:dyDescent="0.3">
      <c r="A669" s="10">
        <v>44482</v>
      </c>
      <c r="B669" s="3" t="s">
        <v>160</v>
      </c>
      <c r="C669" s="11" t="s">
        <v>266</v>
      </c>
      <c r="D669" s="12">
        <v>79.92</v>
      </c>
      <c r="E669" s="1">
        <v>18</v>
      </c>
      <c r="F669" s="13">
        <f>InputData[[#This Row],[QUANTITY]]*InputData[[#This Row],[UNIT PRICE (R)]]</f>
        <v>1438.56</v>
      </c>
      <c r="G669" s="1" t="str">
        <f>VLOOKUP(InputData[[#This Row],[CUSTOMER NAME]],Country[],2,0)</f>
        <v>India</v>
      </c>
      <c r="H669" s="1" t="str">
        <f>VLOOKUP(InputData[[#This Row],[CUSTOMER NAME]],Country[],3,0)</f>
        <v>Western</v>
      </c>
      <c r="I669" s="1" t="str">
        <f>TEXT(InputData[[#This Row],[DATE]],"mmmm")</f>
        <v>October</v>
      </c>
      <c r="J669" s="1" t="str">
        <f>TEXT(InputData[[#This Row],[DATE]],"ddd")</f>
        <v>Wed</v>
      </c>
      <c r="K669" s="14">
        <f>WEEKNUM(InputData[[#This Row],[DATE]])</f>
        <v>42</v>
      </c>
      <c r="N669"/>
      <c r="R669" s="3" t="s">
        <v>49</v>
      </c>
      <c r="S669" s="1" t="str">
        <f t="shared" si="20"/>
        <v>Baxter &amp; Kline Supplies</v>
      </c>
      <c r="V669"/>
      <c r="Z669" s="11" t="s">
        <v>2</v>
      </c>
      <c r="AA669" s="1" t="str">
        <f t="shared" si="21"/>
        <v>Hex Bolt M10</v>
      </c>
      <c r="AF669"/>
    </row>
    <row r="670" spans="1:32" x14ac:dyDescent="0.3">
      <c r="A670" s="10">
        <v>44483</v>
      </c>
      <c r="B670" s="3" t="s">
        <v>149</v>
      </c>
      <c r="C670" s="11" t="s">
        <v>272</v>
      </c>
      <c r="D670" s="12">
        <v>82.08</v>
      </c>
      <c r="E670" s="1">
        <v>15</v>
      </c>
      <c r="F670" s="13">
        <f>InputData[[#This Row],[QUANTITY]]*InputData[[#This Row],[UNIT PRICE (R)]]</f>
        <v>1231.2</v>
      </c>
      <c r="G670" s="1" t="str">
        <f>VLOOKUP(InputData[[#This Row],[CUSTOMER NAME]],Country[],2,0)</f>
        <v>Indonesia</v>
      </c>
      <c r="H670" s="1" t="str">
        <f>VLOOKUP(InputData[[#This Row],[CUSTOMER NAME]],Country[],3,0)</f>
        <v>Export</v>
      </c>
      <c r="I670" s="1" t="str">
        <f>TEXT(InputData[[#This Row],[DATE]],"mmmm")</f>
        <v>October</v>
      </c>
      <c r="J670" s="1" t="str">
        <f>TEXT(InputData[[#This Row],[DATE]],"ddd")</f>
        <v>Thu</v>
      </c>
      <c r="K670" s="14">
        <f>WEEKNUM(InputData[[#This Row],[DATE]])</f>
        <v>42</v>
      </c>
      <c r="N670"/>
      <c r="R670" s="3" t="s">
        <v>65</v>
      </c>
      <c r="S670" s="1" t="str">
        <f t="shared" si="20"/>
        <v>Talbot Street Merchants</v>
      </c>
      <c r="V670"/>
      <c r="Z670" s="11" t="s">
        <v>38</v>
      </c>
      <c r="AA670" s="1" t="str">
        <f t="shared" si="21"/>
        <v>Cable Tie 300mm</v>
      </c>
      <c r="AF670"/>
    </row>
    <row r="671" spans="1:32" x14ac:dyDescent="0.3">
      <c r="A671" s="10">
        <v>44484</v>
      </c>
      <c r="B671" s="3" t="s">
        <v>152</v>
      </c>
      <c r="C671" s="11" t="s">
        <v>243</v>
      </c>
      <c r="D671" s="12">
        <v>15.719999999999999</v>
      </c>
      <c r="E671" s="1">
        <v>10</v>
      </c>
      <c r="F671" s="13">
        <f>InputData[[#This Row],[QUANTITY]]*InputData[[#This Row],[UNIT PRICE (R)]]</f>
        <v>157.19999999999999</v>
      </c>
      <c r="G671" s="1" t="str">
        <f>VLOOKUP(InputData[[#This Row],[CUSTOMER NAME]],Country[],2,0)</f>
        <v>India</v>
      </c>
      <c r="H671" s="1" t="str">
        <f>VLOOKUP(InputData[[#This Row],[CUSTOMER NAME]],Country[],3,0)</f>
        <v>South</v>
      </c>
      <c r="I671" s="1" t="str">
        <f>TEXT(InputData[[#This Row],[DATE]],"mmmm")</f>
        <v>October</v>
      </c>
      <c r="J671" s="1" t="str">
        <f>TEXT(InputData[[#This Row],[DATE]],"ddd")</f>
        <v>Fri</v>
      </c>
      <c r="K671" s="14">
        <f>WEEKNUM(InputData[[#This Row],[DATE]])</f>
        <v>42</v>
      </c>
      <c r="N671"/>
      <c r="R671" s="3" t="s">
        <v>54</v>
      </c>
      <c r="S671" s="1" t="str">
        <f t="shared" si="20"/>
        <v>Kestrel Logistics</v>
      </c>
      <c r="V671"/>
      <c r="Z671" s="11" t="s">
        <v>44</v>
      </c>
      <c r="AA671" s="1" t="str">
        <f t="shared" si="21"/>
        <v>Brass Elbow Joint 20mm</v>
      </c>
      <c r="AF671"/>
    </row>
    <row r="672" spans="1:32" x14ac:dyDescent="0.3">
      <c r="A672" s="10">
        <v>44485</v>
      </c>
      <c r="B672" s="3" t="s">
        <v>163</v>
      </c>
      <c r="C672" s="11" t="s">
        <v>264</v>
      </c>
      <c r="D672" s="12">
        <v>96.3</v>
      </c>
      <c r="E672" s="1">
        <v>3</v>
      </c>
      <c r="F672" s="13">
        <f>InputData[[#This Row],[QUANTITY]]*InputData[[#This Row],[UNIT PRICE (R)]]</f>
        <v>288.89999999999998</v>
      </c>
      <c r="G672" s="1" t="str">
        <f>VLOOKUP(InputData[[#This Row],[CUSTOMER NAME]],Country[],2,0)</f>
        <v>South Africa</v>
      </c>
      <c r="H672" s="1" t="str">
        <f>VLOOKUP(InputData[[#This Row],[CUSTOMER NAME]],Country[],3,0)</f>
        <v>Export</v>
      </c>
      <c r="I672" s="1" t="str">
        <f>TEXT(InputData[[#This Row],[DATE]],"mmmm")</f>
        <v>October</v>
      </c>
      <c r="J672" s="1" t="str">
        <f>TEXT(InputData[[#This Row],[DATE]],"ddd")</f>
        <v>Sat</v>
      </c>
      <c r="K672" s="14">
        <f>WEEKNUM(InputData[[#This Row],[DATE]])</f>
        <v>42</v>
      </c>
      <c r="N672"/>
      <c r="R672" s="3" t="s">
        <v>57</v>
      </c>
      <c r="S672" s="1" t="str">
        <f t="shared" si="20"/>
        <v>Ashcombe Traders</v>
      </c>
      <c r="V672"/>
      <c r="Z672" s="11" t="s">
        <v>15</v>
      </c>
      <c r="AA672" s="1" t="str">
        <f t="shared" si="21"/>
        <v>Rivet 4mm</v>
      </c>
      <c r="AF672"/>
    </row>
    <row r="673" spans="1:32" x14ac:dyDescent="0.3">
      <c r="A673" s="10">
        <v>44485</v>
      </c>
      <c r="B673" s="3" t="s">
        <v>167</v>
      </c>
      <c r="C673" s="11" t="s">
        <v>252</v>
      </c>
      <c r="D673" s="12">
        <v>156.96</v>
      </c>
      <c r="E673" s="1">
        <v>18</v>
      </c>
      <c r="F673" s="13">
        <f>InputData[[#This Row],[QUANTITY]]*InputData[[#This Row],[UNIT PRICE (R)]]</f>
        <v>2825.28</v>
      </c>
      <c r="G673" s="1" t="str">
        <f>VLOOKUP(InputData[[#This Row],[CUSTOMER NAME]],Country[],2,0)</f>
        <v>Ethiopia</v>
      </c>
      <c r="H673" s="1" t="str">
        <f>VLOOKUP(InputData[[#This Row],[CUSTOMER NAME]],Country[],3,0)</f>
        <v>Export</v>
      </c>
      <c r="I673" s="1" t="str">
        <f>TEXT(InputData[[#This Row],[DATE]],"mmmm")</f>
        <v>October</v>
      </c>
      <c r="J673" s="1" t="str">
        <f>TEXT(InputData[[#This Row],[DATE]],"ddd")</f>
        <v>Sat</v>
      </c>
      <c r="K673" s="14">
        <f>WEEKNUM(InputData[[#This Row],[DATE]])</f>
        <v>42</v>
      </c>
      <c r="N673"/>
      <c r="R673" s="3" t="s">
        <v>68</v>
      </c>
      <c r="S673" s="1" t="str">
        <f t="shared" si="20"/>
        <v>Delacroix Wholesale</v>
      </c>
      <c r="V673"/>
      <c r="Z673" s="11" t="s">
        <v>36</v>
      </c>
      <c r="AA673" s="1" t="str">
        <f t="shared" si="21"/>
        <v>Mending Plate 100mm</v>
      </c>
      <c r="AF673"/>
    </row>
    <row r="674" spans="1:32" x14ac:dyDescent="0.3">
      <c r="A674" s="10">
        <v>44485</v>
      </c>
      <c r="B674" s="3" t="s">
        <v>168</v>
      </c>
      <c r="C674" s="11" t="s">
        <v>272</v>
      </c>
      <c r="D674" s="12">
        <v>82.08</v>
      </c>
      <c r="E674" s="1">
        <v>18</v>
      </c>
      <c r="F674" s="13">
        <f>InputData[[#This Row],[QUANTITY]]*InputData[[#This Row],[UNIT PRICE (R)]]</f>
        <v>1477.44</v>
      </c>
      <c r="G674" s="1" t="str">
        <f>VLOOKUP(InputData[[#This Row],[CUSTOMER NAME]],Country[],2,0)</f>
        <v>India</v>
      </c>
      <c r="H674" s="1" t="str">
        <f>VLOOKUP(InputData[[#This Row],[CUSTOMER NAME]],Country[],3,0)</f>
        <v>Northeast</v>
      </c>
      <c r="I674" s="1" t="str">
        <f>TEXT(InputData[[#This Row],[DATE]],"mmmm")</f>
        <v>October</v>
      </c>
      <c r="J674" s="1" t="str">
        <f>TEXT(InputData[[#This Row],[DATE]],"ddd")</f>
        <v>Sat</v>
      </c>
      <c r="K674" s="14">
        <f>WEEKNUM(InputData[[#This Row],[DATE]])</f>
        <v>42</v>
      </c>
      <c r="N674"/>
      <c r="R674" s="3" t="s">
        <v>72</v>
      </c>
      <c r="S674" s="1" t="str">
        <f t="shared" si="20"/>
        <v>Hendricks Mercantile</v>
      </c>
      <c r="V674"/>
      <c r="Z674" s="11" t="s">
        <v>24</v>
      </c>
      <c r="AA674" s="1" t="str">
        <f t="shared" si="21"/>
        <v>Eye Bolt M10</v>
      </c>
      <c r="AF674"/>
    </row>
    <row r="675" spans="1:32" x14ac:dyDescent="0.3">
      <c r="A675" s="10">
        <v>44486</v>
      </c>
      <c r="B675" s="3" t="s">
        <v>167</v>
      </c>
      <c r="C675" s="11" t="s">
        <v>229</v>
      </c>
      <c r="D675" s="12">
        <v>103.88</v>
      </c>
      <c r="E675" s="1">
        <v>13</v>
      </c>
      <c r="F675" s="13">
        <f>InputData[[#This Row],[QUANTITY]]*InputData[[#This Row],[UNIT PRICE (R)]]</f>
        <v>1350.44</v>
      </c>
      <c r="G675" s="1" t="str">
        <f>VLOOKUP(InputData[[#This Row],[CUSTOMER NAME]],Country[],2,0)</f>
        <v>Ethiopia</v>
      </c>
      <c r="H675" s="1" t="str">
        <f>VLOOKUP(InputData[[#This Row],[CUSTOMER NAME]],Country[],3,0)</f>
        <v>Export</v>
      </c>
      <c r="I675" s="1" t="str">
        <f>TEXT(InputData[[#This Row],[DATE]],"mmmm")</f>
        <v>October</v>
      </c>
      <c r="J675" s="1" t="str">
        <f>TEXT(InputData[[#This Row],[DATE]],"ddd")</f>
        <v>Sun</v>
      </c>
      <c r="K675" s="14">
        <f>WEEKNUM(InputData[[#This Row],[DATE]])</f>
        <v>43</v>
      </c>
      <c r="N675"/>
      <c r="R675" s="3" t="s">
        <v>73</v>
      </c>
      <c r="S675" s="1" t="str">
        <f t="shared" si="20"/>
        <v>Ashworth Trading Group</v>
      </c>
      <c r="V675"/>
      <c r="Z675" s="11" t="s">
        <v>44</v>
      </c>
      <c r="AA675" s="1" t="str">
        <f t="shared" si="21"/>
        <v>Brass Elbow Joint 20mm</v>
      </c>
      <c r="AF675"/>
    </row>
    <row r="676" spans="1:32" x14ac:dyDescent="0.3">
      <c r="A676" s="10">
        <v>44487</v>
      </c>
      <c r="B676" s="3" t="s">
        <v>143</v>
      </c>
      <c r="C676" s="11" t="s">
        <v>270</v>
      </c>
      <c r="D676" s="12">
        <v>162</v>
      </c>
      <c r="E676" s="1">
        <v>31</v>
      </c>
      <c r="F676" s="13">
        <f>InputData[[#This Row],[QUANTITY]]*InputData[[#This Row],[UNIT PRICE (R)]]</f>
        <v>5022</v>
      </c>
      <c r="G676" s="1" t="str">
        <f>VLOOKUP(InputData[[#This Row],[CUSTOMER NAME]],Country[],2,0)</f>
        <v>Nigeria</v>
      </c>
      <c r="H676" s="1" t="str">
        <f>VLOOKUP(InputData[[#This Row],[CUSTOMER NAME]],Country[],3,0)</f>
        <v>Export</v>
      </c>
      <c r="I676" s="1" t="str">
        <f>TEXT(InputData[[#This Row],[DATE]],"mmmm")</f>
        <v>October</v>
      </c>
      <c r="J676" s="1" t="str">
        <f>TEXT(InputData[[#This Row],[DATE]],"ddd")</f>
        <v>Mon</v>
      </c>
      <c r="K676" s="14">
        <f>WEEKNUM(InputData[[#This Row],[DATE]])</f>
        <v>43</v>
      </c>
      <c r="N676"/>
      <c r="R676" s="3" t="s">
        <v>72</v>
      </c>
      <c r="S676" s="1" t="str">
        <f t="shared" si="20"/>
        <v>Hendricks Mercantile</v>
      </c>
      <c r="V676"/>
      <c r="Z676" s="11" t="s">
        <v>1</v>
      </c>
      <c r="AA676" s="1" t="str">
        <f t="shared" si="21"/>
        <v>Hex Bolt M8</v>
      </c>
      <c r="AF676"/>
    </row>
    <row r="677" spans="1:32" x14ac:dyDescent="0.3">
      <c r="A677" s="10">
        <v>44487</v>
      </c>
      <c r="B677" s="3" t="s">
        <v>174</v>
      </c>
      <c r="C677" s="11" t="s">
        <v>236</v>
      </c>
      <c r="D677" s="12">
        <v>94.62</v>
      </c>
      <c r="E677" s="1">
        <v>11</v>
      </c>
      <c r="F677" s="13">
        <f>InputData[[#This Row],[QUANTITY]]*InputData[[#This Row],[UNIT PRICE (R)]]</f>
        <v>1040.8200000000002</v>
      </c>
      <c r="G677" s="1" t="str">
        <f>VLOOKUP(InputData[[#This Row],[CUSTOMER NAME]],Country[],2,0)</f>
        <v>Pakistan</v>
      </c>
      <c r="H677" s="1" t="str">
        <f>VLOOKUP(InputData[[#This Row],[CUSTOMER NAME]],Country[],3,0)</f>
        <v>Export</v>
      </c>
      <c r="I677" s="1" t="str">
        <f>TEXT(InputData[[#This Row],[DATE]],"mmmm")</f>
        <v>October</v>
      </c>
      <c r="J677" s="1" t="str">
        <f>TEXT(InputData[[#This Row],[DATE]],"ddd")</f>
        <v>Mon</v>
      </c>
      <c r="K677" s="14">
        <f>WEEKNUM(InputData[[#This Row],[DATE]])</f>
        <v>43</v>
      </c>
      <c r="N677"/>
      <c r="R677" s="3" t="s">
        <v>48</v>
      </c>
      <c r="S677" s="1" t="str">
        <f t="shared" si="20"/>
        <v>Thornwell Trading</v>
      </c>
      <c r="V677"/>
      <c r="Z677" s="11" t="s">
        <v>42</v>
      </c>
      <c r="AA677" s="1" t="str">
        <f t="shared" si="21"/>
        <v>PVC Coupling 25mm</v>
      </c>
      <c r="AF677"/>
    </row>
    <row r="678" spans="1:32" x14ac:dyDescent="0.3">
      <c r="A678" s="10">
        <v>44487</v>
      </c>
      <c r="B678" s="3" t="s">
        <v>151</v>
      </c>
      <c r="C678" s="11" t="s">
        <v>231</v>
      </c>
      <c r="D678" s="12">
        <v>80.94</v>
      </c>
      <c r="E678" s="1">
        <v>6</v>
      </c>
      <c r="F678" s="13">
        <f>InputData[[#This Row],[QUANTITY]]*InputData[[#This Row],[UNIT PRICE (R)]]</f>
        <v>485.64</v>
      </c>
      <c r="G678" s="1" t="str">
        <f>VLOOKUP(InputData[[#This Row],[CUSTOMER NAME]],Country[],2,0)</f>
        <v>Russia</v>
      </c>
      <c r="H678" s="1" t="str">
        <f>VLOOKUP(InputData[[#This Row],[CUSTOMER NAME]],Country[],3,0)</f>
        <v>Export</v>
      </c>
      <c r="I678" s="1" t="str">
        <f>TEXT(InputData[[#This Row],[DATE]],"mmmm")</f>
        <v>October</v>
      </c>
      <c r="J678" s="1" t="str">
        <f>TEXT(InputData[[#This Row],[DATE]],"ddd")</f>
        <v>Mon</v>
      </c>
      <c r="K678" s="14">
        <f>WEEKNUM(InputData[[#This Row],[DATE]])</f>
        <v>43</v>
      </c>
      <c r="N678"/>
      <c r="R678" s="3" t="s">
        <v>96</v>
      </c>
      <c r="S678" s="1" t="str">
        <f t="shared" si="20"/>
        <v>Draycott Wholesalers</v>
      </c>
      <c r="V678"/>
      <c r="Z678" s="11" t="s">
        <v>8</v>
      </c>
      <c r="AA678" s="1" t="str">
        <f t="shared" si="21"/>
        <v>Flat Washer M10</v>
      </c>
      <c r="AF678"/>
    </row>
    <row r="679" spans="1:32" x14ac:dyDescent="0.3">
      <c r="A679" s="10">
        <v>44487</v>
      </c>
      <c r="B679" s="3" t="s">
        <v>175</v>
      </c>
      <c r="C679" s="11" t="s">
        <v>253</v>
      </c>
      <c r="D679" s="12">
        <v>8.33</v>
      </c>
      <c r="E679" s="1">
        <v>16</v>
      </c>
      <c r="F679" s="13">
        <f>InputData[[#This Row],[QUANTITY]]*InputData[[#This Row],[UNIT PRICE (R)]]</f>
        <v>133.28</v>
      </c>
      <c r="G679" s="1" t="str">
        <f>VLOOKUP(InputData[[#This Row],[CUSTOMER NAME]],Country[],2,0)</f>
        <v>India</v>
      </c>
      <c r="H679" s="1" t="str">
        <f>VLOOKUP(InputData[[#This Row],[CUSTOMER NAME]],Country[],3,0)</f>
        <v>Western</v>
      </c>
      <c r="I679" s="1" t="str">
        <f>TEXT(InputData[[#This Row],[DATE]],"mmmm")</f>
        <v>October</v>
      </c>
      <c r="J679" s="1" t="str">
        <f>TEXT(InputData[[#This Row],[DATE]],"ddd")</f>
        <v>Mon</v>
      </c>
      <c r="K679" s="14">
        <f>WEEKNUM(InputData[[#This Row],[DATE]])</f>
        <v>43</v>
      </c>
      <c r="N679"/>
      <c r="R679" s="3" t="s">
        <v>56</v>
      </c>
      <c r="S679" s="1" t="str">
        <f t="shared" si="20"/>
        <v>Northgate Industries</v>
      </c>
      <c r="V679"/>
      <c r="Z679" s="11" t="s">
        <v>3</v>
      </c>
      <c r="AA679" s="1" t="str">
        <f t="shared" si="21"/>
        <v>Hex Bolt M12</v>
      </c>
      <c r="AF679"/>
    </row>
    <row r="680" spans="1:32" x14ac:dyDescent="0.3">
      <c r="A680" s="10">
        <v>44487</v>
      </c>
      <c r="B680" s="3" t="s">
        <v>165</v>
      </c>
      <c r="C680" s="11" t="s">
        <v>253</v>
      </c>
      <c r="D680" s="12">
        <v>8.33</v>
      </c>
      <c r="E680" s="1">
        <v>6</v>
      </c>
      <c r="F680" s="13">
        <f>InputData[[#This Row],[QUANTITY]]*InputData[[#This Row],[UNIT PRICE (R)]]</f>
        <v>49.980000000000004</v>
      </c>
      <c r="G680" s="1" t="str">
        <f>VLOOKUP(InputData[[#This Row],[CUSTOMER NAME]],Country[],2,0)</f>
        <v>India</v>
      </c>
      <c r="H680" s="1" t="str">
        <f>VLOOKUP(InputData[[#This Row],[CUSTOMER NAME]],Country[],3,0)</f>
        <v>Western</v>
      </c>
      <c r="I680" s="1" t="str">
        <f>TEXT(InputData[[#This Row],[DATE]],"mmmm")</f>
        <v>October</v>
      </c>
      <c r="J680" s="1" t="str">
        <f>TEXT(InputData[[#This Row],[DATE]],"ddd")</f>
        <v>Mon</v>
      </c>
      <c r="K680" s="14">
        <f>WEEKNUM(InputData[[#This Row],[DATE]])</f>
        <v>43</v>
      </c>
      <c r="N680"/>
      <c r="R680" s="3" t="s">
        <v>97</v>
      </c>
      <c r="S680" s="1" t="str">
        <f t="shared" si="20"/>
        <v>Stonebridge Commercial</v>
      </c>
      <c r="V680"/>
      <c r="Z680" s="11" t="s">
        <v>25</v>
      </c>
      <c r="AA680" s="1" t="str">
        <f t="shared" si="21"/>
        <v>Turnbuckle M8</v>
      </c>
      <c r="AF680"/>
    </row>
    <row r="681" spans="1:32" x14ac:dyDescent="0.3">
      <c r="A681" s="10">
        <v>44487</v>
      </c>
      <c r="B681" s="3" t="s">
        <v>165</v>
      </c>
      <c r="C681" s="11" t="s">
        <v>249</v>
      </c>
      <c r="D681" s="12">
        <v>162.54</v>
      </c>
      <c r="E681" s="1">
        <v>13</v>
      </c>
      <c r="F681" s="13">
        <f>InputData[[#This Row],[QUANTITY]]*InputData[[#This Row],[UNIT PRICE (R)]]</f>
        <v>2113.02</v>
      </c>
      <c r="G681" s="1" t="str">
        <f>VLOOKUP(InputData[[#This Row],[CUSTOMER NAME]],Country[],2,0)</f>
        <v>India</v>
      </c>
      <c r="H681" s="1" t="str">
        <f>VLOOKUP(InputData[[#This Row],[CUSTOMER NAME]],Country[],3,0)</f>
        <v>Western</v>
      </c>
      <c r="I681" s="1" t="str">
        <f>TEXT(InputData[[#This Row],[DATE]],"mmmm")</f>
        <v>October</v>
      </c>
      <c r="J681" s="1" t="str">
        <f>TEXT(InputData[[#This Row],[DATE]],"ddd")</f>
        <v>Mon</v>
      </c>
      <c r="K681" s="14">
        <f>WEEKNUM(InputData[[#This Row],[DATE]])</f>
        <v>43</v>
      </c>
      <c r="N681"/>
      <c r="R681" s="3" t="s">
        <v>70</v>
      </c>
      <c r="S681" s="1" t="str">
        <f t="shared" si="20"/>
        <v>Larkspur Retailers</v>
      </c>
      <c r="V681"/>
      <c r="Z681" s="11" t="s">
        <v>25</v>
      </c>
      <c r="AA681" s="1" t="str">
        <f t="shared" si="21"/>
        <v>Turnbuckle M8</v>
      </c>
      <c r="AF681"/>
    </row>
    <row r="682" spans="1:32" x14ac:dyDescent="0.3">
      <c r="A682" s="10">
        <v>44491</v>
      </c>
      <c r="B682" s="3" t="s">
        <v>146</v>
      </c>
      <c r="C682" s="11" t="s">
        <v>239</v>
      </c>
      <c r="D682" s="12">
        <v>48.4</v>
      </c>
      <c r="E682" s="1">
        <v>7</v>
      </c>
      <c r="F682" s="13">
        <f>InputData[[#This Row],[QUANTITY]]*InputData[[#This Row],[UNIT PRICE (R)]]</f>
        <v>338.8</v>
      </c>
      <c r="G682" s="1" t="str">
        <f>VLOOKUP(InputData[[#This Row],[CUSTOMER NAME]],Country[],2,0)</f>
        <v>Saudi Arabia</v>
      </c>
      <c r="H682" s="1" t="str">
        <f>VLOOKUP(InputData[[#This Row],[CUSTOMER NAME]],Country[],3,0)</f>
        <v>Export</v>
      </c>
      <c r="I682" s="1" t="str">
        <f>TEXT(InputData[[#This Row],[DATE]],"mmmm")</f>
        <v>October</v>
      </c>
      <c r="J682" s="1" t="str">
        <f>TEXT(InputData[[#This Row],[DATE]],"ddd")</f>
        <v>Fri</v>
      </c>
      <c r="K682" s="14">
        <f>WEEKNUM(InputData[[#This Row],[DATE]])</f>
        <v>43</v>
      </c>
      <c r="N682"/>
      <c r="R682" s="3" t="s">
        <v>70</v>
      </c>
      <c r="S682" s="1" t="str">
        <f t="shared" si="20"/>
        <v>Larkspur Retailers</v>
      </c>
      <c r="V682"/>
      <c r="Z682" s="11" t="s">
        <v>21</v>
      </c>
      <c r="AA682" s="1" t="str">
        <f t="shared" si="21"/>
        <v>Pipe Clamp 25mm</v>
      </c>
      <c r="AF682"/>
    </row>
    <row r="683" spans="1:32" x14ac:dyDescent="0.3">
      <c r="A683" s="10">
        <v>44491</v>
      </c>
      <c r="B683" s="3" t="s">
        <v>148</v>
      </c>
      <c r="C683" s="11" t="s">
        <v>237</v>
      </c>
      <c r="D683" s="12">
        <v>7.8599999999999994</v>
      </c>
      <c r="E683" s="1">
        <v>1</v>
      </c>
      <c r="F683" s="13">
        <f>InputData[[#This Row],[QUANTITY]]*InputData[[#This Row],[UNIT PRICE (R)]]</f>
        <v>7.8599999999999994</v>
      </c>
      <c r="G683" s="1" t="str">
        <f>VLOOKUP(InputData[[#This Row],[CUSTOMER NAME]],Country[],2,0)</f>
        <v>Pakistan</v>
      </c>
      <c r="H683" s="1" t="str">
        <f>VLOOKUP(InputData[[#This Row],[CUSTOMER NAME]],Country[],3,0)</f>
        <v>Export</v>
      </c>
      <c r="I683" s="1" t="str">
        <f>TEXT(InputData[[#This Row],[DATE]],"mmmm")</f>
        <v>October</v>
      </c>
      <c r="J683" s="1" t="str">
        <f>TEXT(InputData[[#This Row],[DATE]],"ddd")</f>
        <v>Fri</v>
      </c>
      <c r="K683" s="14">
        <f>WEEKNUM(InputData[[#This Row],[DATE]])</f>
        <v>43</v>
      </c>
      <c r="N683"/>
      <c r="R683" s="3" t="s">
        <v>51</v>
      </c>
      <c r="S683" s="1" t="str">
        <f t="shared" si="20"/>
        <v>Coastal Fittings Ltd</v>
      </c>
      <c r="V683"/>
      <c r="Z683" s="11" t="s">
        <v>11</v>
      </c>
      <c r="AA683" s="1" t="str">
        <f t="shared" si="21"/>
        <v>Wood Screw 40mm</v>
      </c>
      <c r="AF683"/>
    </row>
    <row r="684" spans="1:32" x14ac:dyDescent="0.3">
      <c r="A684" s="10">
        <v>44491</v>
      </c>
      <c r="B684" s="3" t="s">
        <v>150</v>
      </c>
      <c r="C684" s="11" t="s">
        <v>252</v>
      </c>
      <c r="D684" s="12">
        <v>156.96</v>
      </c>
      <c r="E684" s="1">
        <v>13</v>
      </c>
      <c r="F684" s="13">
        <f>InputData[[#This Row],[QUANTITY]]*InputData[[#This Row],[UNIT PRICE (R)]]</f>
        <v>2040.48</v>
      </c>
      <c r="G684" s="1" t="str">
        <f>VLOOKUP(InputData[[#This Row],[CUSTOMER NAME]],Country[],2,0)</f>
        <v>United Kingdom</v>
      </c>
      <c r="H684" s="1" t="str">
        <f>VLOOKUP(InputData[[#This Row],[CUSTOMER NAME]],Country[],3,0)</f>
        <v>Export</v>
      </c>
      <c r="I684" s="1" t="str">
        <f>TEXT(InputData[[#This Row],[DATE]],"mmmm")</f>
        <v>October</v>
      </c>
      <c r="J684" s="1" t="str">
        <f>TEXT(InputData[[#This Row],[DATE]],"ddd")</f>
        <v>Fri</v>
      </c>
      <c r="K684" s="14">
        <f>WEEKNUM(InputData[[#This Row],[DATE]])</f>
        <v>43</v>
      </c>
      <c r="N684"/>
      <c r="R684" s="3" t="s">
        <v>53</v>
      </c>
      <c r="S684" s="1" t="str">
        <f t="shared" si="20"/>
        <v>Vantage Point Retailers</v>
      </c>
      <c r="V684"/>
      <c r="Z684" s="11" t="s">
        <v>9</v>
      </c>
      <c r="AA684" s="1" t="str">
        <f t="shared" si="21"/>
        <v>Threaded Rod M12</v>
      </c>
      <c r="AF684"/>
    </row>
    <row r="685" spans="1:32" x14ac:dyDescent="0.3">
      <c r="A685" s="10">
        <v>44491</v>
      </c>
      <c r="B685" s="3" t="s">
        <v>153</v>
      </c>
      <c r="C685" s="11" t="s">
        <v>260</v>
      </c>
      <c r="D685" s="12">
        <v>117.48</v>
      </c>
      <c r="E685" s="1">
        <v>34</v>
      </c>
      <c r="F685" s="13">
        <f>InputData[[#This Row],[QUANTITY]]*InputData[[#This Row],[UNIT PRICE (R)]]</f>
        <v>3994.32</v>
      </c>
      <c r="G685" s="1" t="str">
        <f>VLOOKUP(InputData[[#This Row],[CUSTOMER NAME]],Country[],2,0)</f>
        <v>Mexico</v>
      </c>
      <c r="H685" s="1" t="str">
        <f>VLOOKUP(InputData[[#This Row],[CUSTOMER NAME]],Country[],3,0)</f>
        <v>Export</v>
      </c>
      <c r="I685" s="1" t="str">
        <f>TEXT(InputData[[#This Row],[DATE]],"mmmm")</f>
        <v>October</v>
      </c>
      <c r="J685" s="1" t="str">
        <f>TEXT(InputData[[#This Row],[DATE]],"ddd")</f>
        <v>Fri</v>
      </c>
      <c r="K685" s="14">
        <f>WEEKNUM(InputData[[#This Row],[DATE]])</f>
        <v>43</v>
      </c>
      <c r="N685"/>
      <c r="R685" s="3" t="s">
        <v>55</v>
      </c>
      <c r="S685" s="1" t="str">
        <f t="shared" si="20"/>
        <v>Silverline Wholesalers</v>
      </c>
      <c r="V685"/>
      <c r="Z685" s="11" t="s">
        <v>24</v>
      </c>
      <c r="AA685" s="1" t="str">
        <f t="shared" si="21"/>
        <v>Eye Bolt M10</v>
      </c>
      <c r="AF685"/>
    </row>
    <row r="686" spans="1:32" x14ac:dyDescent="0.3">
      <c r="A686" s="10">
        <v>44491</v>
      </c>
      <c r="B686" s="3" t="s">
        <v>159</v>
      </c>
      <c r="C686" s="11" t="s">
        <v>267</v>
      </c>
      <c r="D686" s="12">
        <v>42.55</v>
      </c>
      <c r="E686" s="1">
        <v>24</v>
      </c>
      <c r="F686" s="13">
        <f>InputData[[#This Row],[QUANTITY]]*InputData[[#This Row],[UNIT PRICE (R)]]</f>
        <v>1021.1999999999999</v>
      </c>
      <c r="G686" s="1" t="str">
        <f>VLOOKUP(InputData[[#This Row],[CUSTOMER NAME]],Country[],2,0)</f>
        <v>Saudi Arabia</v>
      </c>
      <c r="H686" s="1" t="str">
        <f>VLOOKUP(InputData[[#This Row],[CUSTOMER NAME]],Country[],3,0)</f>
        <v>Export</v>
      </c>
      <c r="I686" s="1" t="str">
        <f>TEXT(InputData[[#This Row],[DATE]],"mmmm")</f>
        <v>October</v>
      </c>
      <c r="J686" s="1" t="str">
        <f>TEXT(InputData[[#This Row],[DATE]],"ddd")</f>
        <v>Fri</v>
      </c>
      <c r="K686" s="14">
        <f>WEEKNUM(InputData[[#This Row],[DATE]])</f>
        <v>43</v>
      </c>
      <c r="N686"/>
      <c r="R686" s="3" t="s">
        <v>58</v>
      </c>
      <c r="S686" s="1" t="str">
        <f t="shared" si="20"/>
        <v>Redwood Mercantile</v>
      </c>
      <c r="V686"/>
      <c r="Z686" s="11" t="s">
        <v>32</v>
      </c>
      <c r="AA686" s="1" t="str">
        <f t="shared" si="21"/>
        <v>Corner Bracket 50mm</v>
      </c>
      <c r="AF686"/>
    </row>
    <row r="687" spans="1:32" x14ac:dyDescent="0.3">
      <c r="A687" s="10">
        <v>44492</v>
      </c>
      <c r="B687" s="3" t="s">
        <v>164</v>
      </c>
      <c r="C687" s="11" t="s">
        <v>252</v>
      </c>
      <c r="D687" s="12">
        <v>156.96</v>
      </c>
      <c r="E687" s="1">
        <v>14</v>
      </c>
      <c r="F687" s="13">
        <f>InputData[[#This Row],[QUANTITY]]*InputData[[#This Row],[UNIT PRICE (R)]]</f>
        <v>2197.44</v>
      </c>
      <c r="G687" s="1" t="str">
        <f>VLOOKUP(InputData[[#This Row],[CUSTOMER NAME]],Country[],2,0)</f>
        <v>India</v>
      </c>
      <c r="H687" s="1" t="str">
        <f>VLOOKUP(InputData[[#This Row],[CUSTOMER NAME]],Country[],3,0)</f>
        <v>East</v>
      </c>
      <c r="I687" s="1" t="str">
        <f>TEXT(InputData[[#This Row],[DATE]],"mmmm")</f>
        <v>October</v>
      </c>
      <c r="J687" s="1" t="str">
        <f>TEXT(InputData[[#This Row],[DATE]],"ddd")</f>
        <v>Sat</v>
      </c>
      <c r="K687" s="14">
        <f>WEEKNUM(InputData[[#This Row],[DATE]])</f>
        <v>43</v>
      </c>
      <c r="N687"/>
      <c r="R687" s="3" t="s">
        <v>64</v>
      </c>
      <c r="S687" s="1" t="str">
        <f t="shared" si="20"/>
        <v>Ridgeway Commercial</v>
      </c>
      <c r="V687"/>
      <c r="Z687" s="11" t="s">
        <v>39</v>
      </c>
      <c r="AA687" s="1" t="str">
        <f t="shared" si="21"/>
        <v>Cable Clip 20mm</v>
      </c>
      <c r="AF687"/>
    </row>
    <row r="688" spans="1:32" x14ac:dyDescent="0.3">
      <c r="A688" s="10">
        <v>44493</v>
      </c>
      <c r="B688" s="3" t="s">
        <v>175</v>
      </c>
      <c r="C688" s="11" t="s">
        <v>264</v>
      </c>
      <c r="D688" s="12">
        <v>96.3</v>
      </c>
      <c r="E688" s="1">
        <v>22</v>
      </c>
      <c r="F688" s="13">
        <f>InputData[[#This Row],[QUANTITY]]*InputData[[#This Row],[UNIT PRICE (R)]]</f>
        <v>2118.6</v>
      </c>
      <c r="G688" s="1" t="str">
        <f>VLOOKUP(InputData[[#This Row],[CUSTOMER NAME]],Country[],2,0)</f>
        <v>India</v>
      </c>
      <c r="H688" s="1" t="str">
        <f>VLOOKUP(InputData[[#This Row],[CUSTOMER NAME]],Country[],3,0)</f>
        <v>Western</v>
      </c>
      <c r="I688" s="1" t="str">
        <f>TEXT(InputData[[#This Row],[DATE]],"mmmm")</f>
        <v>October</v>
      </c>
      <c r="J688" s="1" t="str">
        <f>TEXT(InputData[[#This Row],[DATE]],"ddd")</f>
        <v>Sun</v>
      </c>
      <c r="K688" s="14">
        <f>WEEKNUM(InputData[[#This Row],[DATE]])</f>
        <v>44</v>
      </c>
      <c r="N688"/>
      <c r="R688" s="3" t="s">
        <v>69</v>
      </c>
      <c r="S688" s="1" t="str">
        <f t="shared" si="20"/>
        <v>Southcote Industries</v>
      </c>
      <c r="V688"/>
      <c r="Z688" s="11" t="s">
        <v>24</v>
      </c>
      <c r="AA688" s="1" t="str">
        <f t="shared" si="21"/>
        <v>Eye Bolt M10</v>
      </c>
      <c r="AF688"/>
    </row>
    <row r="689" spans="1:32" x14ac:dyDescent="0.3">
      <c r="A689" s="10">
        <v>44493</v>
      </c>
      <c r="B689" s="3" t="s">
        <v>165</v>
      </c>
      <c r="C689" s="11" t="s">
        <v>239</v>
      </c>
      <c r="D689" s="12">
        <v>48.4</v>
      </c>
      <c r="E689" s="1">
        <v>3</v>
      </c>
      <c r="F689" s="13">
        <f>InputData[[#This Row],[QUANTITY]]*InputData[[#This Row],[UNIT PRICE (R)]]</f>
        <v>145.19999999999999</v>
      </c>
      <c r="G689" s="1" t="str">
        <f>VLOOKUP(InputData[[#This Row],[CUSTOMER NAME]],Country[],2,0)</f>
        <v>India</v>
      </c>
      <c r="H689" s="1" t="str">
        <f>VLOOKUP(InputData[[#This Row],[CUSTOMER NAME]],Country[],3,0)</f>
        <v>Western</v>
      </c>
      <c r="I689" s="1" t="str">
        <f>TEXT(InputData[[#This Row],[DATE]],"mmmm")</f>
        <v>October</v>
      </c>
      <c r="J689" s="1" t="str">
        <f>TEXT(InputData[[#This Row],[DATE]],"ddd")</f>
        <v>Sun</v>
      </c>
      <c r="K689" s="14">
        <f>WEEKNUM(InputData[[#This Row],[DATE]])</f>
        <v>44</v>
      </c>
      <c r="N689"/>
      <c r="R689" s="3" t="s">
        <v>97</v>
      </c>
      <c r="S689" s="1" t="str">
        <f t="shared" si="20"/>
        <v>Stonebridge Commercial</v>
      </c>
      <c r="V689"/>
      <c r="Z689" s="11" t="s">
        <v>36</v>
      </c>
      <c r="AA689" s="1" t="str">
        <f t="shared" si="21"/>
        <v>Mending Plate 100mm</v>
      </c>
      <c r="AF689"/>
    </row>
    <row r="690" spans="1:32" x14ac:dyDescent="0.3">
      <c r="A690" s="10">
        <v>44493</v>
      </c>
      <c r="B690" s="3" t="s">
        <v>165</v>
      </c>
      <c r="C690" s="11" t="s">
        <v>253</v>
      </c>
      <c r="D690" s="12">
        <v>8.33</v>
      </c>
      <c r="E690" s="1">
        <v>21</v>
      </c>
      <c r="F690" s="13">
        <f>InputData[[#This Row],[QUANTITY]]*InputData[[#This Row],[UNIT PRICE (R)]]</f>
        <v>174.93</v>
      </c>
      <c r="G690" s="1" t="str">
        <f>VLOOKUP(InputData[[#This Row],[CUSTOMER NAME]],Country[],2,0)</f>
        <v>India</v>
      </c>
      <c r="H690" s="1" t="str">
        <f>VLOOKUP(InputData[[#This Row],[CUSTOMER NAME]],Country[],3,0)</f>
        <v>Western</v>
      </c>
      <c r="I690" s="1" t="str">
        <f>TEXT(InputData[[#This Row],[DATE]],"mmmm")</f>
        <v>October</v>
      </c>
      <c r="J690" s="1" t="str">
        <f>TEXT(InputData[[#This Row],[DATE]],"ddd")</f>
        <v>Sun</v>
      </c>
      <c r="K690" s="14">
        <f>WEEKNUM(InputData[[#This Row],[DATE]])</f>
        <v>44</v>
      </c>
      <c r="N690"/>
      <c r="R690" s="3" t="s">
        <v>70</v>
      </c>
      <c r="S690" s="1" t="str">
        <f t="shared" si="20"/>
        <v>Larkspur Retailers</v>
      </c>
      <c r="V690"/>
      <c r="Z690" s="11" t="s">
        <v>11</v>
      </c>
      <c r="AA690" s="1" t="str">
        <f t="shared" si="21"/>
        <v>Wood Screw 40mm</v>
      </c>
      <c r="AF690"/>
    </row>
    <row r="691" spans="1:32" x14ac:dyDescent="0.3">
      <c r="A691" s="10">
        <v>44493</v>
      </c>
      <c r="B691" s="3" t="s">
        <v>182</v>
      </c>
      <c r="C691" s="11" t="s">
        <v>261</v>
      </c>
      <c r="D691" s="12">
        <v>119.7</v>
      </c>
      <c r="E691" s="1">
        <v>4</v>
      </c>
      <c r="F691" s="13">
        <f>InputData[[#This Row],[QUANTITY]]*InputData[[#This Row],[UNIT PRICE (R)]]</f>
        <v>478.8</v>
      </c>
      <c r="G691" s="1" t="str">
        <f>VLOOKUP(InputData[[#This Row],[CUSTOMER NAME]],Country[],2,0)</f>
        <v>United States of America</v>
      </c>
      <c r="H691" s="1" t="str">
        <f>VLOOKUP(InputData[[#This Row],[CUSTOMER NAME]],Country[],3,0)</f>
        <v>Export</v>
      </c>
      <c r="I691" s="1" t="str">
        <f>TEXT(InputData[[#This Row],[DATE]],"mmmm")</f>
        <v>October</v>
      </c>
      <c r="J691" s="1" t="str">
        <f>TEXT(InputData[[#This Row],[DATE]],"ddd")</f>
        <v>Sun</v>
      </c>
      <c r="K691" s="14">
        <f>WEEKNUM(InputData[[#This Row],[DATE]])</f>
        <v>44</v>
      </c>
      <c r="N691"/>
      <c r="R691" s="3" t="s">
        <v>70</v>
      </c>
      <c r="S691" s="1" t="str">
        <f t="shared" si="20"/>
        <v>Larkspur Retailers</v>
      </c>
      <c r="V691"/>
      <c r="Z691" s="11" t="s">
        <v>25</v>
      </c>
      <c r="AA691" s="1" t="str">
        <f t="shared" si="21"/>
        <v>Turnbuckle M8</v>
      </c>
      <c r="AF691"/>
    </row>
    <row r="692" spans="1:32" x14ac:dyDescent="0.3">
      <c r="A692" s="10">
        <v>44494</v>
      </c>
      <c r="B692" s="3" t="s">
        <v>157</v>
      </c>
      <c r="C692" s="11" t="s">
        <v>272</v>
      </c>
      <c r="D692" s="12">
        <v>82.08</v>
      </c>
      <c r="E692" s="1">
        <v>9</v>
      </c>
      <c r="F692" s="13">
        <f>InputData[[#This Row],[QUANTITY]]*InputData[[#This Row],[UNIT PRICE (R)]]</f>
        <v>738.72</v>
      </c>
      <c r="G692" s="1" t="str">
        <f>VLOOKUP(InputData[[#This Row],[CUSTOMER NAME]],Country[],2,0)</f>
        <v>Brazil</v>
      </c>
      <c r="H692" s="1" t="str">
        <f>VLOOKUP(InputData[[#This Row],[CUSTOMER NAME]],Country[],3,0)</f>
        <v>Export</v>
      </c>
      <c r="I692" s="1" t="str">
        <f>TEXT(InputData[[#This Row],[DATE]],"mmmm")</f>
        <v>October</v>
      </c>
      <c r="J692" s="1" t="str">
        <f>TEXT(InputData[[#This Row],[DATE]],"ddd")</f>
        <v>Mon</v>
      </c>
      <c r="K692" s="14">
        <f>WEEKNUM(InputData[[#This Row],[DATE]])</f>
        <v>44</v>
      </c>
      <c r="N692"/>
      <c r="R692" s="3" t="s">
        <v>104</v>
      </c>
      <c r="S692" s="1" t="str">
        <f t="shared" si="20"/>
        <v>Radcliffe Mercantile</v>
      </c>
      <c r="V692"/>
      <c r="Z692" s="11" t="s">
        <v>33</v>
      </c>
      <c r="AA692" s="1" t="str">
        <f t="shared" si="21"/>
        <v>Shelf Bracket 200mm</v>
      </c>
      <c r="AF692"/>
    </row>
    <row r="693" spans="1:32" x14ac:dyDescent="0.3">
      <c r="A693" s="10">
        <v>44494</v>
      </c>
      <c r="B693" s="3" t="s">
        <v>164</v>
      </c>
      <c r="C693" s="11" t="s">
        <v>229</v>
      </c>
      <c r="D693" s="12">
        <v>103.88</v>
      </c>
      <c r="E693" s="1">
        <v>18</v>
      </c>
      <c r="F693" s="13">
        <f>InputData[[#This Row],[QUANTITY]]*InputData[[#This Row],[UNIT PRICE (R)]]</f>
        <v>1869.84</v>
      </c>
      <c r="G693" s="1" t="str">
        <f>VLOOKUP(InputData[[#This Row],[CUSTOMER NAME]],Country[],2,0)</f>
        <v>India</v>
      </c>
      <c r="H693" s="1" t="str">
        <f>VLOOKUP(InputData[[#This Row],[CUSTOMER NAME]],Country[],3,0)</f>
        <v>East</v>
      </c>
      <c r="I693" s="1" t="str">
        <f>TEXT(InputData[[#This Row],[DATE]],"mmmm")</f>
        <v>October</v>
      </c>
      <c r="J693" s="1" t="str">
        <f>TEXT(InputData[[#This Row],[DATE]],"ddd")</f>
        <v>Mon</v>
      </c>
      <c r="K693" s="14">
        <f>WEEKNUM(InputData[[#This Row],[DATE]])</f>
        <v>44</v>
      </c>
      <c r="N693"/>
      <c r="R693" s="3" t="s">
        <v>62</v>
      </c>
      <c r="S693" s="1" t="str">
        <f t="shared" si="20"/>
        <v>Marchbank Traders</v>
      </c>
      <c r="V693"/>
      <c r="Z693" s="11" t="s">
        <v>44</v>
      </c>
      <c r="AA693" s="1" t="str">
        <f t="shared" si="21"/>
        <v>Brass Elbow Joint 20mm</v>
      </c>
      <c r="AF693"/>
    </row>
    <row r="694" spans="1:32" x14ac:dyDescent="0.3">
      <c r="A694" s="10">
        <v>44495</v>
      </c>
      <c r="B694" s="3" t="s">
        <v>149</v>
      </c>
      <c r="C694" s="11" t="s">
        <v>232</v>
      </c>
      <c r="D694" s="12">
        <v>48.84</v>
      </c>
      <c r="E694" s="1">
        <v>6</v>
      </c>
      <c r="F694" s="13">
        <f>InputData[[#This Row],[QUANTITY]]*InputData[[#This Row],[UNIT PRICE (R)]]</f>
        <v>293.04000000000002</v>
      </c>
      <c r="G694" s="1" t="str">
        <f>VLOOKUP(InputData[[#This Row],[CUSTOMER NAME]],Country[],2,0)</f>
        <v>Indonesia</v>
      </c>
      <c r="H694" s="1" t="str">
        <f>VLOOKUP(InputData[[#This Row],[CUSTOMER NAME]],Country[],3,0)</f>
        <v>Export</v>
      </c>
      <c r="I694" s="1" t="str">
        <f>TEXT(InputData[[#This Row],[DATE]],"mmmm")</f>
        <v>October</v>
      </c>
      <c r="J694" s="1" t="str">
        <f>TEXT(InputData[[#This Row],[DATE]],"ddd")</f>
        <v>Tue</v>
      </c>
      <c r="K694" s="14">
        <f>WEEKNUM(InputData[[#This Row],[DATE]])</f>
        <v>44</v>
      </c>
      <c r="N694"/>
      <c r="R694" s="3" t="s">
        <v>69</v>
      </c>
      <c r="S694" s="1" t="str">
        <f t="shared" si="20"/>
        <v>Southcote Industries</v>
      </c>
      <c r="V694"/>
      <c r="Z694" s="11" t="s">
        <v>1</v>
      </c>
      <c r="AA694" s="1" t="str">
        <f t="shared" si="21"/>
        <v>Hex Bolt M8</v>
      </c>
      <c r="AF694"/>
    </row>
    <row r="695" spans="1:32" x14ac:dyDescent="0.3">
      <c r="A695" s="10">
        <v>44497</v>
      </c>
      <c r="B695" s="3" t="s">
        <v>179</v>
      </c>
      <c r="C695" s="11" t="s">
        <v>236</v>
      </c>
      <c r="D695" s="12">
        <v>94.62</v>
      </c>
      <c r="E695" s="1">
        <v>1</v>
      </c>
      <c r="F695" s="13">
        <f>InputData[[#This Row],[QUANTITY]]*InputData[[#This Row],[UNIT PRICE (R)]]</f>
        <v>94.62</v>
      </c>
      <c r="G695" s="1" t="str">
        <f>VLOOKUP(InputData[[#This Row],[CUSTOMER NAME]],Country[],2,0)</f>
        <v>United States of America</v>
      </c>
      <c r="H695" s="1" t="str">
        <f>VLOOKUP(InputData[[#This Row],[CUSTOMER NAME]],Country[],3,0)</f>
        <v>Export</v>
      </c>
      <c r="I695" s="1" t="str">
        <f>TEXT(InputData[[#This Row],[DATE]],"mmmm")</f>
        <v>October</v>
      </c>
      <c r="J695" s="1" t="str">
        <f>TEXT(InputData[[#This Row],[DATE]],"ddd")</f>
        <v>Thu</v>
      </c>
      <c r="K695" s="14">
        <f>WEEKNUM(InputData[[#This Row],[DATE]])</f>
        <v>44</v>
      </c>
      <c r="N695"/>
      <c r="R695" s="3" t="s">
        <v>54</v>
      </c>
      <c r="S695" s="1" t="str">
        <f t="shared" si="20"/>
        <v>Kestrel Logistics</v>
      </c>
      <c r="V695"/>
      <c r="Z695" s="11" t="s">
        <v>4</v>
      </c>
      <c r="AA695" s="1" t="str">
        <f t="shared" si="21"/>
        <v>Carriage Bolt M8</v>
      </c>
      <c r="AF695"/>
    </row>
    <row r="696" spans="1:32" x14ac:dyDescent="0.3">
      <c r="A696" s="10">
        <v>44497</v>
      </c>
      <c r="B696" s="3" t="s">
        <v>167</v>
      </c>
      <c r="C696" s="11" t="s">
        <v>263</v>
      </c>
      <c r="D696" s="12">
        <v>6.7</v>
      </c>
      <c r="E696" s="1">
        <v>39</v>
      </c>
      <c r="F696" s="13">
        <f>InputData[[#This Row],[QUANTITY]]*InputData[[#This Row],[UNIT PRICE (R)]]</f>
        <v>261.3</v>
      </c>
      <c r="G696" s="1" t="str">
        <f>VLOOKUP(InputData[[#This Row],[CUSTOMER NAME]],Country[],2,0)</f>
        <v>Ethiopia</v>
      </c>
      <c r="H696" s="1" t="str">
        <f>VLOOKUP(InputData[[#This Row],[CUSTOMER NAME]],Country[],3,0)</f>
        <v>Export</v>
      </c>
      <c r="I696" s="1" t="str">
        <f>TEXT(InputData[[#This Row],[DATE]],"mmmm")</f>
        <v>October</v>
      </c>
      <c r="J696" s="1" t="str">
        <f>TEXT(InputData[[#This Row],[DATE]],"ddd")</f>
        <v>Thu</v>
      </c>
      <c r="K696" s="14">
        <f>WEEKNUM(InputData[[#This Row],[DATE]])</f>
        <v>44</v>
      </c>
      <c r="N696"/>
      <c r="R696" s="3" t="s">
        <v>101</v>
      </c>
      <c r="S696" s="1" t="str">
        <f t="shared" si="20"/>
        <v>Hollowell Supply Co.</v>
      </c>
      <c r="V696"/>
      <c r="Z696" s="11" t="s">
        <v>8</v>
      </c>
      <c r="AA696" s="1" t="str">
        <f t="shared" si="21"/>
        <v>Flat Washer M10</v>
      </c>
      <c r="AF696"/>
    </row>
    <row r="697" spans="1:32" x14ac:dyDescent="0.3">
      <c r="A697" s="10">
        <v>44498</v>
      </c>
      <c r="B697" s="3" t="s">
        <v>152</v>
      </c>
      <c r="C697" s="11" t="s">
        <v>230</v>
      </c>
      <c r="D697" s="12">
        <v>142.80000000000001</v>
      </c>
      <c r="E697" s="1">
        <v>23</v>
      </c>
      <c r="F697" s="13">
        <f>InputData[[#This Row],[QUANTITY]]*InputData[[#This Row],[UNIT PRICE (R)]]</f>
        <v>3284.4</v>
      </c>
      <c r="G697" s="1" t="str">
        <f>VLOOKUP(InputData[[#This Row],[CUSTOMER NAME]],Country[],2,0)</f>
        <v>India</v>
      </c>
      <c r="H697" s="1" t="str">
        <f>VLOOKUP(InputData[[#This Row],[CUSTOMER NAME]],Country[],3,0)</f>
        <v>South</v>
      </c>
      <c r="I697" s="1" t="str">
        <f>TEXT(InputData[[#This Row],[DATE]],"mmmm")</f>
        <v>October</v>
      </c>
      <c r="J697" s="1" t="str">
        <f>TEXT(InputData[[#This Row],[DATE]],"ddd")</f>
        <v>Fri</v>
      </c>
      <c r="K697" s="14">
        <f>WEEKNUM(InputData[[#This Row],[DATE]])</f>
        <v>44</v>
      </c>
      <c r="N697"/>
      <c r="R697" s="3" t="s">
        <v>72</v>
      </c>
      <c r="S697" s="1" t="str">
        <f t="shared" si="20"/>
        <v>Hendricks Mercantile</v>
      </c>
      <c r="V697"/>
      <c r="Z697" s="11" t="s">
        <v>35</v>
      </c>
      <c r="AA697" s="1" t="str">
        <f t="shared" si="21"/>
        <v>T-Bracket 100mm</v>
      </c>
      <c r="AF697"/>
    </row>
    <row r="698" spans="1:32" x14ac:dyDescent="0.3">
      <c r="A698" s="10">
        <v>44498</v>
      </c>
      <c r="B698" s="3" t="s">
        <v>156</v>
      </c>
      <c r="C698" s="11" t="s">
        <v>266</v>
      </c>
      <c r="D698" s="12">
        <v>79.92</v>
      </c>
      <c r="E698" s="1">
        <v>14</v>
      </c>
      <c r="F698" s="13">
        <f>InputData[[#This Row],[QUANTITY]]*InputData[[#This Row],[UNIT PRICE (R)]]</f>
        <v>1118.8800000000001</v>
      </c>
      <c r="G698" s="1" t="str">
        <f>VLOOKUP(InputData[[#This Row],[CUSTOMER NAME]],Country[],2,0)</f>
        <v>India</v>
      </c>
      <c r="H698" s="1" t="str">
        <f>VLOOKUP(InputData[[#This Row],[CUSTOMER NAME]],Country[],3,0)</f>
        <v>East</v>
      </c>
      <c r="I698" s="1" t="str">
        <f>TEXT(InputData[[#This Row],[DATE]],"mmmm")</f>
        <v>October</v>
      </c>
      <c r="J698" s="1" t="str">
        <f>TEXT(InputData[[#This Row],[DATE]],"ddd")</f>
        <v>Fri</v>
      </c>
      <c r="K698" s="14">
        <f>WEEKNUM(InputData[[#This Row],[DATE]])</f>
        <v>44</v>
      </c>
      <c r="N698"/>
      <c r="R698" s="3" t="s">
        <v>57</v>
      </c>
      <c r="S698" s="1" t="str">
        <f t="shared" si="20"/>
        <v>Ashcombe Traders</v>
      </c>
      <c r="V698"/>
      <c r="Z698" s="11" t="s">
        <v>2</v>
      </c>
      <c r="AA698" s="1" t="str">
        <f t="shared" si="21"/>
        <v>Hex Bolt M10</v>
      </c>
      <c r="AF698"/>
    </row>
    <row r="699" spans="1:32" x14ac:dyDescent="0.3">
      <c r="A699" s="10">
        <v>44499</v>
      </c>
      <c r="B699" s="3" t="s">
        <v>143</v>
      </c>
      <c r="C699" s="11" t="s">
        <v>258</v>
      </c>
      <c r="D699" s="12">
        <v>201.28</v>
      </c>
      <c r="E699" s="1">
        <v>30</v>
      </c>
      <c r="F699" s="13">
        <f>InputData[[#This Row],[QUANTITY]]*InputData[[#This Row],[UNIT PRICE (R)]]</f>
        <v>6038.4</v>
      </c>
      <c r="G699" s="1" t="str">
        <f>VLOOKUP(InputData[[#This Row],[CUSTOMER NAME]],Country[],2,0)</f>
        <v>Nigeria</v>
      </c>
      <c r="H699" s="1" t="str">
        <f>VLOOKUP(InputData[[#This Row],[CUSTOMER NAME]],Country[],3,0)</f>
        <v>Export</v>
      </c>
      <c r="I699" s="1" t="str">
        <f>TEXT(InputData[[#This Row],[DATE]],"mmmm")</f>
        <v>October</v>
      </c>
      <c r="J699" s="1" t="str">
        <f>TEXT(InputData[[#This Row],[DATE]],"ddd")</f>
        <v>Sat</v>
      </c>
      <c r="K699" s="14">
        <f>WEEKNUM(InputData[[#This Row],[DATE]])</f>
        <v>44</v>
      </c>
      <c r="N699"/>
      <c r="R699" s="3" t="s">
        <v>61</v>
      </c>
      <c r="S699" s="1" t="str">
        <f t="shared" si="20"/>
        <v>Fairstone Retail Group</v>
      </c>
      <c r="V699"/>
      <c r="Z699" s="11" t="s">
        <v>38</v>
      </c>
      <c r="AA699" s="1" t="str">
        <f t="shared" si="21"/>
        <v>Cable Tie 300mm</v>
      </c>
      <c r="AF699"/>
    </row>
    <row r="700" spans="1:32" x14ac:dyDescent="0.3">
      <c r="A700" s="10">
        <v>44499</v>
      </c>
      <c r="B700" s="3" t="s">
        <v>157</v>
      </c>
      <c r="C700" s="11" t="s">
        <v>253</v>
      </c>
      <c r="D700" s="12">
        <v>8.33</v>
      </c>
      <c r="E700" s="1">
        <v>37</v>
      </c>
      <c r="F700" s="13">
        <f>InputData[[#This Row],[QUANTITY]]*InputData[[#This Row],[UNIT PRICE (R)]]</f>
        <v>308.20999999999998</v>
      </c>
      <c r="G700" s="1" t="str">
        <f>VLOOKUP(InputData[[#This Row],[CUSTOMER NAME]],Country[],2,0)</f>
        <v>Brazil</v>
      </c>
      <c r="H700" s="1" t="str">
        <f>VLOOKUP(InputData[[#This Row],[CUSTOMER NAME]],Country[],3,0)</f>
        <v>Export</v>
      </c>
      <c r="I700" s="1" t="str">
        <f>TEXT(InputData[[#This Row],[DATE]],"mmmm")</f>
        <v>October</v>
      </c>
      <c r="J700" s="1" t="str">
        <f>TEXT(InputData[[#This Row],[DATE]],"ddd")</f>
        <v>Sat</v>
      </c>
      <c r="K700" s="14">
        <f>WEEKNUM(InputData[[#This Row],[DATE]])</f>
        <v>44</v>
      </c>
      <c r="N700"/>
      <c r="R700" s="3" t="s">
        <v>48</v>
      </c>
      <c r="S700" s="1" t="str">
        <f t="shared" si="20"/>
        <v>Thornwell Trading</v>
      </c>
      <c r="V700"/>
      <c r="Z700" s="11" t="s">
        <v>30</v>
      </c>
      <c r="AA700" s="1" t="str">
        <f t="shared" si="21"/>
        <v>Door Latch Set</v>
      </c>
      <c r="AF700"/>
    </row>
    <row r="701" spans="1:32" x14ac:dyDescent="0.3">
      <c r="A701" s="10">
        <v>44499</v>
      </c>
      <c r="B701" s="3" t="s">
        <v>158</v>
      </c>
      <c r="C701" s="11" t="s">
        <v>270</v>
      </c>
      <c r="D701" s="12">
        <v>162</v>
      </c>
      <c r="E701" s="1">
        <v>3</v>
      </c>
      <c r="F701" s="13">
        <f>InputData[[#This Row],[QUANTITY]]*InputData[[#This Row],[UNIT PRICE (R)]]</f>
        <v>486</v>
      </c>
      <c r="G701" s="1" t="str">
        <f>VLOOKUP(InputData[[#This Row],[CUSTOMER NAME]],Country[],2,0)</f>
        <v>Russia</v>
      </c>
      <c r="H701" s="1" t="str">
        <f>VLOOKUP(InputData[[#This Row],[CUSTOMER NAME]],Country[],3,0)</f>
        <v>Export</v>
      </c>
      <c r="I701" s="1" t="str">
        <f>TEXT(InputData[[#This Row],[DATE]],"mmmm")</f>
        <v>October</v>
      </c>
      <c r="J701" s="1" t="str">
        <f>TEXT(InputData[[#This Row],[DATE]],"ddd")</f>
        <v>Sat</v>
      </c>
      <c r="K701" s="14">
        <f>WEEKNUM(InputData[[#This Row],[DATE]])</f>
        <v>44</v>
      </c>
      <c r="N701"/>
      <c r="R701" s="3" t="s">
        <v>62</v>
      </c>
      <c r="S701" s="1" t="str">
        <f t="shared" si="20"/>
        <v>Marchbank Traders</v>
      </c>
      <c r="V701"/>
      <c r="Z701" s="11" t="s">
        <v>25</v>
      </c>
      <c r="AA701" s="1" t="str">
        <f t="shared" si="21"/>
        <v>Turnbuckle M8</v>
      </c>
      <c r="AF701"/>
    </row>
    <row r="702" spans="1:32" x14ac:dyDescent="0.3">
      <c r="A702" s="10">
        <v>44499</v>
      </c>
      <c r="B702" s="3" t="s">
        <v>168</v>
      </c>
      <c r="C702" s="11" t="s">
        <v>237</v>
      </c>
      <c r="D702" s="12">
        <v>7.8599999999999994</v>
      </c>
      <c r="E702" s="1">
        <v>6</v>
      </c>
      <c r="F702" s="13">
        <f>InputData[[#This Row],[QUANTITY]]*InputData[[#This Row],[UNIT PRICE (R)]]</f>
        <v>47.16</v>
      </c>
      <c r="G702" s="1" t="str">
        <f>VLOOKUP(InputData[[#This Row],[CUSTOMER NAME]],Country[],2,0)</f>
        <v>India</v>
      </c>
      <c r="H702" s="1" t="str">
        <f>VLOOKUP(InputData[[#This Row],[CUSTOMER NAME]],Country[],3,0)</f>
        <v>Northeast</v>
      </c>
      <c r="I702" s="1" t="str">
        <f>TEXT(InputData[[#This Row],[DATE]],"mmmm")</f>
        <v>October</v>
      </c>
      <c r="J702" s="1" t="str">
        <f>TEXT(InputData[[#This Row],[DATE]],"ddd")</f>
        <v>Sat</v>
      </c>
      <c r="K702" s="14">
        <f>WEEKNUM(InputData[[#This Row],[DATE]])</f>
        <v>44</v>
      </c>
      <c r="N702"/>
      <c r="R702" s="3" t="s">
        <v>63</v>
      </c>
      <c r="S702" s="1" t="str">
        <f t="shared" si="20"/>
        <v>Ovenden &amp; Sons</v>
      </c>
      <c r="V702"/>
      <c r="Z702" s="11" t="s">
        <v>42</v>
      </c>
      <c r="AA702" s="1" t="str">
        <f t="shared" si="21"/>
        <v>PVC Coupling 25mm</v>
      </c>
      <c r="AF702"/>
    </row>
    <row r="703" spans="1:32" x14ac:dyDescent="0.3">
      <c r="A703" s="10">
        <v>44500</v>
      </c>
      <c r="B703" s="3" t="s">
        <v>143</v>
      </c>
      <c r="C703" s="11" t="s">
        <v>266</v>
      </c>
      <c r="D703" s="12">
        <v>79.92</v>
      </c>
      <c r="E703" s="1">
        <v>8</v>
      </c>
      <c r="F703" s="13">
        <f>InputData[[#This Row],[QUANTITY]]*InputData[[#This Row],[UNIT PRICE (R)]]</f>
        <v>639.36</v>
      </c>
      <c r="G703" s="1" t="str">
        <f>VLOOKUP(InputData[[#This Row],[CUSTOMER NAME]],Country[],2,0)</f>
        <v>Nigeria</v>
      </c>
      <c r="H703" s="1" t="str">
        <f>VLOOKUP(InputData[[#This Row],[CUSTOMER NAME]],Country[],3,0)</f>
        <v>Export</v>
      </c>
      <c r="I703" s="1" t="str">
        <f>TEXT(InputData[[#This Row],[DATE]],"mmmm")</f>
        <v>October</v>
      </c>
      <c r="J703" s="1" t="str">
        <f>TEXT(InputData[[#This Row],[DATE]],"ddd")</f>
        <v>Sun</v>
      </c>
      <c r="K703" s="14">
        <f>WEEKNUM(InputData[[#This Row],[DATE]])</f>
        <v>45</v>
      </c>
      <c r="N703"/>
      <c r="R703" s="3" t="s">
        <v>73</v>
      </c>
      <c r="S703" s="1" t="str">
        <f t="shared" si="20"/>
        <v>Ashworth Trading Group</v>
      </c>
      <c r="V703"/>
      <c r="Z703" s="11" t="s">
        <v>9</v>
      </c>
      <c r="AA703" s="1" t="str">
        <f t="shared" si="21"/>
        <v>Threaded Rod M12</v>
      </c>
      <c r="AF703"/>
    </row>
    <row r="704" spans="1:32" x14ac:dyDescent="0.3">
      <c r="A704" s="10">
        <v>44500</v>
      </c>
      <c r="B704" s="3" t="s">
        <v>149</v>
      </c>
      <c r="C704" s="11" t="s">
        <v>249</v>
      </c>
      <c r="D704" s="12">
        <v>162.54</v>
      </c>
      <c r="E704" s="1">
        <v>6</v>
      </c>
      <c r="F704" s="13">
        <f>InputData[[#This Row],[QUANTITY]]*InputData[[#This Row],[UNIT PRICE (R)]]</f>
        <v>975.24</v>
      </c>
      <c r="G704" s="1" t="str">
        <f>VLOOKUP(InputData[[#This Row],[CUSTOMER NAME]],Country[],2,0)</f>
        <v>Indonesia</v>
      </c>
      <c r="H704" s="1" t="str">
        <f>VLOOKUP(InputData[[#This Row],[CUSTOMER NAME]],Country[],3,0)</f>
        <v>Export</v>
      </c>
      <c r="I704" s="1" t="str">
        <f>TEXT(InputData[[#This Row],[DATE]],"mmmm")</f>
        <v>October</v>
      </c>
      <c r="J704" s="1" t="str">
        <f>TEXT(InputData[[#This Row],[DATE]],"ddd")</f>
        <v>Sun</v>
      </c>
      <c r="K704" s="14">
        <f>WEEKNUM(InputData[[#This Row],[DATE]])</f>
        <v>45</v>
      </c>
      <c r="N704"/>
      <c r="R704" s="3" t="s">
        <v>48</v>
      </c>
      <c r="S704" s="1" t="str">
        <f t="shared" si="20"/>
        <v>Thornwell Trading</v>
      </c>
      <c r="V704"/>
      <c r="Z704" s="11" t="s">
        <v>38</v>
      </c>
      <c r="AA704" s="1" t="str">
        <f t="shared" si="21"/>
        <v>Cable Tie 300mm</v>
      </c>
      <c r="AF704"/>
    </row>
    <row r="705" spans="1:32" x14ac:dyDescent="0.3">
      <c r="A705" s="10">
        <v>44501</v>
      </c>
      <c r="B705" s="3" t="s">
        <v>147</v>
      </c>
      <c r="C705" s="11" t="s">
        <v>240</v>
      </c>
      <c r="D705" s="12">
        <v>94.17</v>
      </c>
      <c r="E705" s="1">
        <v>15</v>
      </c>
      <c r="F705" s="13">
        <f>InputData[[#This Row],[QUANTITY]]*InputData[[#This Row],[UNIT PRICE (R)]]</f>
        <v>1412.55</v>
      </c>
      <c r="G705" s="1" t="str">
        <f>VLOOKUP(InputData[[#This Row],[CUSTOMER NAME]],Country[],2,0)</f>
        <v>India</v>
      </c>
      <c r="H705" s="1" t="str">
        <f>VLOOKUP(InputData[[#This Row],[CUSTOMER NAME]],Country[],3,0)</f>
        <v>Northeast</v>
      </c>
      <c r="I705" s="1" t="str">
        <f>TEXT(InputData[[#This Row],[DATE]],"mmmm")</f>
        <v>November</v>
      </c>
      <c r="J705" s="1" t="str">
        <f>TEXT(InputData[[#This Row],[DATE]],"ddd")</f>
        <v>Mon</v>
      </c>
      <c r="K705" s="14">
        <f>WEEKNUM(InputData[[#This Row],[DATE]])</f>
        <v>45</v>
      </c>
      <c r="N705"/>
      <c r="R705" s="3" t="s">
        <v>54</v>
      </c>
      <c r="S705" s="1" t="str">
        <f t="shared" si="20"/>
        <v>Kestrel Logistics</v>
      </c>
      <c r="V705"/>
      <c r="Z705" s="11" t="s">
        <v>21</v>
      </c>
      <c r="AA705" s="1" t="str">
        <f t="shared" si="21"/>
        <v>Pipe Clamp 25mm</v>
      </c>
      <c r="AF705"/>
    </row>
    <row r="706" spans="1:32" x14ac:dyDescent="0.3">
      <c r="A706" s="10">
        <v>44502</v>
      </c>
      <c r="B706" s="3" t="s">
        <v>156</v>
      </c>
      <c r="C706" s="11" t="s">
        <v>243</v>
      </c>
      <c r="D706" s="12">
        <v>15.719999999999999</v>
      </c>
      <c r="E706" s="1">
        <v>15</v>
      </c>
      <c r="F706" s="13">
        <f>InputData[[#This Row],[QUANTITY]]*InputData[[#This Row],[UNIT PRICE (R)]]</f>
        <v>235.79999999999998</v>
      </c>
      <c r="G706" s="1" t="str">
        <f>VLOOKUP(InputData[[#This Row],[CUSTOMER NAME]],Country[],2,0)</f>
        <v>India</v>
      </c>
      <c r="H706" s="1" t="str">
        <f>VLOOKUP(InputData[[#This Row],[CUSTOMER NAME]],Country[],3,0)</f>
        <v>East</v>
      </c>
      <c r="I706" s="1" t="str">
        <f>TEXT(InputData[[#This Row],[DATE]],"mmmm")</f>
        <v>November</v>
      </c>
      <c r="J706" s="1" t="str">
        <f>TEXT(InputData[[#This Row],[DATE]],"ddd")</f>
        <v>Tue</v>
      </c>
      <c r="K706" s="14">
        <f>WEEKNUM(InputData[[#This Row],[DATE]])</f>
        <v>45</v>
      </c>
      <c r="N706"/>
      <c r="R706" s="3" t="s">
        <v>52</v>
      </c>
      <c r="S706" s="1" t="str">
        <f t="shared" si="20"/>
        <v>Harrow Distribution</v>
      </c>
      <c r="V706"/>
      <c r="Z706" s="11" t="s">
        <v>12</v>
      </c>
      <c r="AA706" s="1" t="str">
        <f t="shared" si="21"/>
        <v>Drywall Screw 30mm</v>
      </c>
      <c r="AF706"/>
    </row>
    <row r="707" spans="1:32" x14ac:dyDescent="0.3">
      <c r="A707" s="10">
        <v>44502</v>
      </c>
      <c r="B707" s="3" t="s">
        <v>164</v>
      </c>
      <c r="C707" s="11" t="s">
        <v>263</v>
      </c>
      <c r="D707" s="12">
        <v>6.7</v>
      </c>
      <c r="E707" s="1">
        <v>5</v>
      </c>
      <c r="F707" s="13">
        <f>InputData[[#This Row],[QUANTITY]]*InputData[[#This Row],[UNIT PRICE (R)]]</f>
        <v>33.5</v>
      </c>
      <c r="G707" s="1" t="str">
        <f>VLOOKUP(InputData[[#This Row],[CUSTOMER NAME]],Country[],2,0)</f>
        <v>India</v>
      </c>
      <c r="H707" s="1" t="str">
        <f>VLOOKUP(InputData[[#This Row],[CUSTOMER NAME]],Country[],3,0)</f>
        <v>East</v>
      </c>
      <c r="I707" s="1" t="str">
        <f>TEXT(InputData[[#This Row],[DATE]],"mmmm")</f>
        <v>November</v>
      </c>
      <c r="J707" s="1" t="str">
        <f>TEXT(InputData[[#This Row],[DATE]],"ddd")</f>
        <v>Tue</v>
      </c>
      <c r="K707" s="14">
        <f>WEEKNUM(InputData[[#This Row],[DATE]])</f>
        <v>45</v>
      </c>
      <c r="N707"/>
      <c r="R707" s="3" t="s">
        <v>61</v>
      </c>
      <c r="S707" s="1" t="str">
        <f t="shared" si="20"/>
        <v>Fairstone Retail Group</v>
      </c>
      <c r="V707"/>
      <c r="Z707" s="11" t="s">
        <v>15</v>
      </c>
      <c r="AA707" s="1" t="str">
        <f t="shared" si="21"/>
        <v>Rivet 4mm</v>
      </c>
      <c r="AF707"/>
    </row>
    <row r="708" spans="1:32" x14ac:dyDescent="0.3">
      <c r="A708" s="10">
        <v>44502</v>
      </c>
      <c r="B708" s="3" t="s">
        <v>165</v>
      </c>
      <c r="C708" s="11" t="s">
        <v>258</v>
      </c>
      <c r="D708" s="12">
        <v>201.28</v>
      </c>
      <c r="E708" s="1">
        <v>15</v>
      </c>
      <c r="F708" s="13">
        <f>InputData[[#This Row],[QUANTITY]]*InputData[[#This Row],[UNIT PRICE (R)]]</f>
        <v>3019.2</v>
      </c>
      <c r="G708" s="1" t="str">
        <f>VLOOKUP(InputData[[#This Row],[CUSTOMER NAME]],Country[],2,0)</f>
        <v>India</v>
      </c>
      <c r="H708" s="1" t="str">
        <f>VLOOKUP(InputData[[#This Row],[CUSTOMER NAME]],Country[],3,0)</f>
        <v>Western</v>
      </c>
      <c r="I708" s="1" t="str">
        <f>TEXT(InputData[[#This Row],[DATE]],"mmmm")</f>
        <v>November</v>
      </c>
      <c r="J708" s="1" t="str">
        <f>TEXT(InputData[[#This Row],[DATE]],"ddd")</f>
        <v>Tue</v>
      </c>
      <c r="K708" s="14">
        <f>WEEKNUM(InputData[[#This Row],[DATE]])</f>
        <v>45</v>
      </c>
      <c r="N708"/>
      <c r="R708" s="3" t="s">
        <v>69</v>
      </c>
      <c r="S708" s="1" t="str">
        <f t="shared" si="20"/>
        <v>Southcote Industries</v>
      </c>
      <c r="V708"/>
      <c r="Z708" s="11" t="s">
        <v>35</v>
      </c>
      <c r="AA708" s="1" t="str">
        <f t="shared" si="21"/>
        <v>T-Bracket 100mm</v>
      </c>
      <c r="AF708"/>
    </row>
    <row r="709" spans="1:32" x14ac:dyDescent="0.3">
      <c r="A709" s="10">
        <v>44503</v>
      </c>
      <c r="B709" s="3" t="s">
        <v>148</v>
      </c>
      <c r="C709" s="11" t="s">
        <v>248</v>
      </c>
      <c r="D709" s="12">
        <v>76.25</v>
      </c>
      <c r="E709" s="1">
        <v>11</v>
      </c>
      <c r="F709" s="13">
        <f>InputData[[#This Row],[QUANTITY]]*InputData[[#This Row],[UNIT PRICE (R)]]</f>
        <v>838.75</v>
      </c>
      <c r="G709" s="1" t="str">
        <f>VLOOKUP(InputData[[#This Row],[CUSTOMER NAME]],Country[],2,0)</f>
        <v>Pakistan</v>
      </c>
      <c r="H709" s="1" t="str">
        <f>VLOOKUP(InputData[[#This Row],[CUSTOMER NAME]],Country[],3,0)</f>
        <v>Export</v>
      </c>
      <c r="I709" s="1" t="str">
        <f>TEXT(InputData[[#This Row],[DATE]],"mmmm")</f>
        <v>November</v>
      </c>
      <c r="J709" s="1" t="str">
        <f>TEXT(InputData[[#This Row],[DATE]],"ddd")</f>
        <v>Wed</v>
      </c>
      <c r="K709" s="14">
        <f>WEEKNUM(InputData[[#This Row],[DATE]])</f>
        <v>45</v>
      </c>
      <c r="N709"/>
      <c r="R709" s="3" t="s">
        <v>70</v>
      </c>
      <c r="S709" s="1" t="str">
        <f t="shared" si="20"/>
        <v>Larkspur Retailers</v>
      </c>
      <c r="V709"/>
      <c r="Z709" s="11" t="s">
        <v>30</v>
      </c>
      <c r="AA709" s="1" t="str">
        <f t="shared" si="21"/>
        <v>Door Latch Set</v>
      </c>
      <c r="AF709"/>
    </row>
    <row r="710" spans="1:32" x14ac:dyDescent="0.3">
      <c r="A710" s="10">
        <v>44503</v>
      </c>
      <c r="B710" s="3" t="s">
        <v>162</v>
      </c>
      <c r="C710" s="11" t="s">
        <v>241</v>
      </c>
      <c r="D710" s="12">
        <v>122.08</v>
      </c>
      <c r="E710" s="1">
        <v>12</v>
      </c>
      <c r="F710" s="13">
        <f>InputData[[#This Row],[QUANTITY]]*InputData[[#This Row],[UNIT PRICE (R)]]</f>
        <v>1464.96</v>
      </c>
      <c r="G710" s="1" t="str">
        <f>VLOOKUP(InputData[[#This Row],[CUSTOMER NAME]],Country[],2,0)</f>
        <v>United Kingdom</v>
      </c>
      <c r="H710" s="1" t="str">
        <f>VLOOKUP(InputData[[#This Row],[CUSTOMER NAME]],Country[],3,0)</f>
        <v>Export</v>
      </c>
      <c r="I710" s="1" t="str">
        <f>TEXT(InputData[[#This Row],[DATE]],"mmmm")</f>
        <v>November</v>
      </c>
      <c r="J710" s="1" t="str">
        <f>TEXT(InputData[[#This Row],[DATE]],"ddd")</f>
        <v>Wed</v>
      </c>
      <c r="K710" s="14">
        <f>WEEKNUM(InputData[[#This Row],[DATE]])</f>
        <v>45</v>
      </c>
      <c r="N710"/>
      <c r="R710" s="3" t="s">
        <v>53</v>
      </c>
      <c r="S710" s="1" t="str">
        <f t="shared" si="20"/>
        <v>Vantage Point Retailers</v>
      </c>
      <c r="V710"/>
      <c r="Z710" s="11" t="s">
        <v>20</v>
      </c>
      <c r="AA710" s="1" t="str">
        <f t="shared" si="21"/>
        <v>Toggle Bolt M6</v>
      </c>
      <c r="AF710"/>
    </row>
    <row r="711" spans="1:32" x14ac:dyDescent="0.3">
      <c r="A711" s="10">
        <v>44504</v>
      </c>
      <c r="B711" s="3" t="s">
        <v>152</v>
      </c>
      <c r="C711" s="11" t="s">
        <v>236</v>
      </c>
      <c r="D711" s="12">
        <v>94.62</v>
      </c>
      <c r="E711" s="1">
        <v>10</v>
      </c>
      <c r="F711" s="13">
        <f>InputData[[#This Row],[QUANTITY]]*InputData[[#This Row],[UNIT PRICE (R)]]</f>
        <v>946.2</v>
      </c>
      <c r="G711" s="1" t="str">
        <f>VLOOKUP(InputData[[#This Row],[CUSTOMER NAME]],Country[],2,0)</f>
        <v>India</v>
      </c>
      <c r="H711" s="1" t="str">
        <f>VLOOKUP(InputData[[#This Row],[CUSTOMER NAME]],Country[],3,0)</f>
        <v>South</v>
      </c>
      <c r="I711" s="1" t="str">
        <f>TEXT(InputData[[#This Row],[DATE]],"mmmm")</f>
        <v>November</v>
      </c>
      <c r="J711" s="1" t="str">
        <f>TEXT(InputData[[#This Row],[DATE]],"ddd")</f>
        <v>Thu</v>
      </c>
      <c r="K711" s="14">
        <f>WEEKNUM(InputData[[#This Row],[DATE]])</f>
        <v>45</v>
      </c>
      <c r="N711"/>
      <c r="R711" s="3" t="s">
        <v>67</v>
      </c>
      <c r="S711" s="1" t="str">
        <f t="shared" ref="S711:S774" si="22">_xlfn.XLOOKUP(R711,$N$5:$N$64,$O$5:$O$64,"Not Found")</f>
        <v>Ironbridge Trading Co.</v>
      </c>
      <c r="V711"/>
      <c r="Z711" s="11" t="s">
        <v>13</v>
      </c>
      <c r="AA711" s="1" t="str">
        <f t="shared" ref="AA711:AA774" si="23">_xlfn.XLOOKUP(Z711,$V$5:$V$48,$W$5:$W$48,"Not Found",0)</f>
        <v>Machine Screw M4</v>
      </c>
      <c r="AF711"/>
    </row>
    <row r="712" spans="1:32" x14ac:dyDescent="0.3">
      <c r="A712" s="10">
        <v>44505</v>
      </c>
      <c r="B712" s="3" t="s">
        <v>156</v>
      </c>
      <c r="C712" s="11" t="s">
        <v>247</v>
      </c>
      <c r="D712" s="12">
        <v>210</v>
      </c>
      <c r="E712" s="1">
        <v>15</v>
      </c>
      <c r="F712" s="13">
        <f>InputData[[#This Row],[QUANTITY]]*InputData[[#This Row],[UNIT PRICE (R)]]</f>
        <v>3150</v>
      </c>
      <c r="G712" s="1" t="str">
        <f>VLOOKUP(InputData[[#This Row],[CUSTOMER NAME]],Country[],2,0)</f>
        <v>India</v>
      </c>
      <c r="H712" s="1" t="str">
        <f>VLOOKUP(InputData[[#This Row],[CUSTOMER NAME]],Country[],3,0)</f>
        <v>East</v>
      </c>
      <c r="I712" s="1" t="str">
        <f>TEXT(InputData[[#This Row],[DATE]],"mmmm")</f>
        <v>November</v>
      </c>
      <c r="J712" s="1" t="str">
        <f>TEXT(InputData[[#This Row],[DATE]],"ddd")</f>
        <v>Fri</v>
      </c>
      <c r="K712" s="14">
        <f>WEEKNUM(InputData[[#This Row],[DATE]])</f>
        <v>45</v>
      </c>
      <c r="N712"/>
      <c r="R712" s="3" t="s">
        <v>57</v>
      </c>
      <c r="S712" s="1" t="str">
        <f t="shared" si="22"/>
        <v>Ashcombe Traders</v>
      </c>
      <c r="V712"/>
      <c r="Z712" s="11" t="s">
        <v>8</v>
      </c>
      <c r="AA712" s="1" t="str">
        <f t="shared" si="23"/>
        <v>Flat Washer M10</v>
      </c>
      <c r="AF712"/>
    </row>
    <row r="713" spans="1:32" x14ac:dyDescent="0.3">
      <c r="A713" s="10">
        <v>44506</v>
      </c>
      <c r="B713" s="3" t="s">
        <v>143</v>
      </c>
      <c r="C713" s="11" t="s">
        <v>271</v>
      </c>
      <c r="D713" s="12">
        <v>83.08</v>
      </c>
      <c r="E713" s="1">
        <v>13</v>
      </c>
      <c r="F713" s="13">
        <f>InputData[[#This Row],[QUANTITY]]*InputData[[#This Row],[UNIT PRICE (R)]]</f>
        <v>1080.04</v>
      </c>
      <c r="G713" s="1" t="str">
        <f>VLOOKUP(InputData[[#This Row],[CUSTOMER NAME]],Country[],2,0)</f>
        <v>Nigeria</v>
      </c>
      <c r="H713" s="1" t="str">
        <f>VLOOKUP(InputData[[#This Row],[CUSTOMER NAME]],Country[],3,0)</f>
        <v>Export</v>
      </c>
      <c r="I713" s="1" t="str">
        <f>TEXT(InputData[[#This Row],[DATE]],"mmmm")</f>
        <v>November</v>
      </c>
      <c r="J713" s="1" t="str">
        <f>TEXT(InputData[[#This Row],[DATE]],"ddd")</f>
        <v>Sat</v>
      </c>
      <c r="K713" s="14">
        <f>WEEKNUM(InputData[[#This Row],[DATE]])</f>
        <v>45</v>
      </c>
      <c r="N713"/>
      <c r="R713" s="3" t="s">
        <v>61</v>
      </c>
      <c r="S713" s="1" t="str">
        <f t="shared" si="22"/>
        <v>Fairstone Retail Group</v>
      </c>
      <c r="V713"/>
      <c r="Z713" s="11" t="s">
        <v>19</v>
      </c>
      <c r="AA713" s="1" t="str">
        <f t="shared" si="23"/>
        <v>Anchor Bolt M10</v>
      </c>
      <c r="AF713"/>
    </row>
    <row r="714" spans="1:32" x14ac:dyDescent="0.3">
      <c r="A714" s="10">
        <v>44506</v>
      </c>
      <c r="B714" s="3" t="s">
        <v>147</v>
      </c>
      <c r="C714" s="11" t="s">
        <v>270</v>
      </c>
      <c r="D714" s="12">
        <v>162</v>
      </c>
      <c r="E714" s="1">
        <v>13</v>
      </c>
      <c r="F714" s="13">
        <f>InputData[[#This Row],[QUANTITY]]*InputData[[#This Row],[UNIT PRICE (R)]]</f>
        <v>2106</v>
      </c>
      <c r="G714" s="1" t="str">
        <f>VLOOKUP(InputData[[#This Row],[CUSTOMER NAME]],Country[],2,0)</f>
        <v>India</v>
      </c>
      <c r="H714" s="1" t="str">
        <f>VLOOKUP(InputData[[#This Row],[CUSTOMER NAME]],Country[],3,0)</f>
        <v>Northeast</v>
      </c>
      <c r="I714" s="1" t="str">
        <f>TEXT(InputData[[#This Row],[DATE]],"mmmm")</f>
        <v>November</v>
      </c>
      <c r="J714" s="1" t="str">
        <f>TEXT(InputData[[#This Row],[DATE]],"ddd")</f>
        <v>Sat</v>
      </c>
      <c r="K714" s="14">
        <f>WEEKNUM(InputData[[#This Row],[DATE]])</f>
        <v>45</v>
      </c>
      <c r="N714"/>
      <c r="R714" s="3" t="s">
        <v>48</v>
      </c>
      <c r="S714" s="1" t="str">
        <f t="shared" si="22"/>
        <v>Thornwell Trading</v>
      </c>
      <c r="V714"/>
      <c r="Z714" s="11" t="s">
        <v>43</v>
      </c>
      <c r="AA714" s="1" t="str">
        <f t="shared" si="23"/>
        <v>Copper Pipe Fitting 15mm</v>
      </c>
      <c r="AF714"/>
    </row>
    <row r="715" spans="1:32" x14ac:dyDescent="0.3">
      <c r="A715" s="10">
        <v>44506</v>
      </c>
      <c r="B715" s="3" t="s">
        <v>160</v>
      </c>
      <c r="C715" s="11" t="s">
        <v>264</v>
      </c>
      <c r="D715" s="12">
        <v>96.3</v>
      </c>
      <c r="E715" s="1">
        <v>10</v>
      </c>
      <c r="F715" s="13">
        <f>InputData[[#This Row],[QUANTITY]]*InputData[[#This Row],[UNIT PRICE (R)]]</f>
        <v>963</v>
      </c>
      <c r="G715" s="1" t="str">
        <f>VLOOKUP(InputData[[#This Row],[CUSTOMER NAME]],Country[],2,0)</f>
        <v>India</v>
      </c>
      <c r="H715" s="1" t="str">
        <f>VLOOKUP(InputData[[#This Row],[CUSTOMER NAME]],Country[],3,0)</f>
        <v>Western</v>
      </c>
      <c r="I715" s="1" t="str">
        <f>TEXT(InputData[[#This Row],[DATE]],"mmmm")</f>
        <v>November</v>
      </c>
      <c r="J715" s="1" t="str">
        <f>TEXT(InputData[[#This Row],[DATE]],"ddd")</f>
        <v>Sat</v>
      </c>
      <c r="K715" s="14">
        <f>WEEKNUM(InputData[[#This Row],[DATE]])</f>
        <v>45</v>
      </c>
      <c r="N715"/>
      <c r="R715" s="3" t="s">
        <v>52</v>
      </c>
      <c r="S715" s="1" t="str">
        <f t="shared" si="22"/>
        <v>Harrow Distribution</v>
      </c>
      <c r="V715"/>
      <c r="Z715" s="11" t="s">
        <v>42</v>
      </c>
      <c r="AA715" s="1" t="str">
        <f t="shared" si="23"/>
        <v>PVC Coupling 25mm</v>
      </c>
      <c r="AF715"/>
    </row>
    <row r="716" spans="1:32" x14ac:dyDescent="0.3">
      <c r="A716" s="10">
        <v>44506</v>
      </c>
      <c r="B716" s="3" t="s">
        <v>163</v>
      </c>
      <c r="C716" s="11" t="s">
        <v>243</v>
      </c>
      <c r="D716" s="12">
        <v>15.719999999999999</v>
      </c>
      <c r="E716" s="1">
        <v>13</v>
      </c>
      <c r="F716" s="13">
        <f>InputData[[#This Row],[QUANTITY]]*InputData[[#This Row],[UNIT PRICE (R)]]</f>
        <v>204.35999999999999</v>
      </c>
      <c r="G716" s="1" t="str">
        <f>VLOOKUP(InputData[[#This Row],[CUSTOMER NAME]],Country[],2,0)</f>
        <v>South Africa</v>
      </c>
      <c r="H716" s="1" t="str">
        <f>VLOOKUP(InputData[[#This Row],[CUSTOMER NAME]],Country[],3,0)</f>
        <v>Export</v>
      </c>
      <c r="I716" s="1" t="str">
        <f>TEXT(InputData[[#This Row],[DATE]],"mmmm")</f>
        <v>November</v>
      </c>
      <c r="J716" s="1" t="str">
        <f>TEXT(InputData[[#This Row],[DATE]],"ddd")</f>
        <v>Sat</v>
      </c>
      <c r="K716" s="14">
        <f>WEEKNUM(InputData[[#This Row],[DATE]])</f>
        <v>45</v>
      </c>
      <c r="N716"/>
      <c r="R716" s="3" t="s">
        <v>65</v>
      </c>
      <c r="S716" s="1" t="str">
        <f t="shared" si="22"/>
        <v>Talbot Street Merchants</v>
      </c>
      <c r="V716"/>
      <c r="Z716" s="11" t="s">
        <v>36</v>
      </c>
      <c r="AA716" s="1" t="str">
        <f t="shared" si="23"/>
        <v>Mending Plate 100mm</v>
      </c>
      <c r="AF716"/>
    </row>
    <row r="717" spans="1:32" x14ac:dyDescent="0.3">
      <c r="A717" s="10">
        <v>44507</v>
      </c>
      <c r="B717" s="3" t="s">
        <v>156</v>
      </c>
      <c r="C717" s="11" t="s">
        <v>258</v>
      </c>
      <c r="D717" s="12">
        <v>201.28</v>
      </c>
      <c r="E717" s="1">
        <v>11</v>
      </c>
      <c r="F717" s="13">
        <f>InputData[[#This Row],[QUANTITY]]*InputData[[#This Row],[UNIT PRICE (R)]]</f>
        <v>2214.08</v>
      </c>
      <c r="G717" s="1" t="str">
        <f>VLOOKUP(InputData[[#This Row],[CUSTOMER NAME]],Country[],2,0)</f>
        <v>India</v>
      </c>
      <c r="H717" s="1" t="str">
        <f>VLOOKUP(InputData[[#This Row],[CUSTOMER NAME]],Country[],3,0)</f>
        <v>East</v>
      </c>
      <c r="I717" s="1" t="str">
        <f>TEXT(InputData[[#This Row],[DATE]],"mmmm")</f>
        <v>November</v>
      </c>
      <c r="J717" s="1" t="str">
        <f>TEXT(InputData[[#This Row],[DATE]],"ddd")</f>
        <v>Sun</v>
      </c>
      <c r="K717" s="14">
        <f>WEEKNUM(InputData[[#This Row],[DATE]])</f>
        <v>46</v>
      </c>
      <c r="N717"/>
      <c r="R717" s="3" t="s">
        <v>68</v>
      </c>
      <c r="S717" s="1" t="str">
        <f t="shared" si="22"/>
        <v>Delacroix Wholesale</v>
      </c>
      <c r="V717"/>
      <c r="Z717" s="11" t="s">
        <v>15</v>
      </c>
      <c r="AA717" s="1" t="str">
        <f t="shared" si="23"/>
        <v>Rivet 4mm</v>
      </c>
      <c r="AF717"/>
    </row>
    <row r="718" spans="1:32" x14ac:dyDescent="0.3">
      <c r="A718" s="10">
        <v>44507</v>
      </c>
      <c r="B718" s="3" t="s">
        <v>179</v>
      </c>
      <c r="C718" s="11" t="s">
        <v>233</v>
      </c>
      <c r="D718" s="12">
        <v>155.61000000000001</v>
      </c>
      <c r="E718" s="1">
        <v>3</v>
      </c>
      <c r="F718" s="13">
        <f>InputData[[#This Row],[QUANTITY]]*InputData[[#This Row],[UNIT PRICE (R)]]</f>
        <v>466.83000000000004</v>
      </c>
      <c r="G718" s="1" t="str">
        <f>VLOOKUP(InputData[[#This Row],[CUSTOMER NAME]],Country[],2,0)</f>
        <v>United States of America</v>
      </c>
      <c r="H718" s="1" t="str">
        <f>VLOOKUP(InputData[[#This Row],[CUSTOMER NAME]],Country[],3,0)</f>
        <v>Export</v>
      </c>
      <c r="I718" s="1" t="str">
        <f>TEXT(InputData[[#This Row],[DATE]],"mmmm")</f>
        <v>November</v>
      </c>
      <c r="J718" s="1" t="str">
        <f>TEXT(InputData[[#This Row],[DATE]],"ddd")</f>
        <v>Sun</v>
      </c>
      <c r="K718" s="14">
        <f>WEEKNUM(InputData[[#This Row],[DATE]])</f>
        <v>46</v>
      </c>
      <c r="N718"/>
      <c r="R718" s="3" t="s">
        <v>61</v>
      </c>
      <c r="S718" s="1" t="str">
        <f t="shared" si="22"/>
        <v>Fairstone Retail Group</v>
      </c>
      <c r="V718"/>
      <c r="Z718" s="11" t="s">
        <v>30</v>
      </c>
      <c r="AA718" s="1" t="str">
        <f t="shared" si="23"/>
        <v>Door Latch Set</v>
      </c>
      <c r="AF718"/>
    </row>
    <row r="719" spans="1:32" x14ac:dyDescent="0.3">
      <c r="A719" s="10">
        <v>44507</v>
      </c>
      <c r="B719" s="3" t="s">
        <v>171</v>
      </c>
      <c r="C719" s="11" t="s">
        <v>268</v>
      </c>
      <c r="D719" s="12">
        <v>115.2</v>
      </c>
      <c r="E719" s="1">
        <v>13</v>
      </c>
      <c r="F719" s="13">
        <f>InputData[[#This Row],[QUANTITY]]*InputData[[#This Row],[UNIT PRICE (R)]]</f>
        <v>1497.6000000000001</v>
      </c>
      <c r="G719" s="1" t="str">
        <f>VLOOKUP(InputData[[#This Row],[CUSTOMER NAME]],Country[],2,0)</f>
        <v>India</v>
      </c>
      <c r="H719" s="1" t="str">
        <f>VLOOKUP(InputData[[#This Row],[CUSTOMER NAME]],Country[],3,0)</f>
        <v>South</v>
      </c>
      <c r="I719" s="1" t="str">
        <f>TEXT(InputData[[#This Row],[DATE]],"mmmm")</f>
        <v>November</v>
      </c>
      <c r="J719" s="1" t="str">
        <f>TEXT(InputData[[#This Row],[DATE]],"ddd")</f>
        <v>Sun</v>
      </c>
      <c r="K719" s="14">
        <f>WEEKNUM(InputData[[#This Row],[DATE]])</f>
        <v>46</v>
      </c>
      <c r="N719"/>
      <c r="R719" s="3" t="s">
        <v>101</v>
      </c>
      <c r="S719" s="1" t="str">
        <f t="shared" si="22"/>
        <v>Hollowell Supply Co.</v>
      </c>
      <c r="V719"/>
      <c r="Z719" s="11" t="s">
        <v>5</v>
      </c>
      <c r="AA719" s="1" t="str">
        <f t="shared" si="23"/>
        <v>Wing Nut M6</v>
      </c>
      <c r="AF719"/>
    </row>
    <row r="720" spans="1:32" x14ac:dyDescent="0.3">
      <c r="A720" s="10">
        <v>44508</v>
      </c>
      <c r="B720" s="3" t="s">
        <v>175</v>
      </c>
      <c r="C720" s="11" t="s">
        <v>235</v>
      </c>
      <c r="D720" s="12">
        <v>47.730000000000004</v>
      </c>
      <c r="E720" s="1">
        <v>15</v>
      </c>
      <c r="F720" s="13">
        <f>InputData[[#This Row],[QUANTITY]]*InputData[[#This Row],[UNIT PRICE (R)]]</f>
        <v>715.95</v>
      </c>
      <c r="G720" s="1" t="str">
        <f>VLOOKUP(InputData[[#This Row],[CUSTOMER NAME]],Country[],2,0)</f>
        <v>India</v>
      </c>
      <c r="H720" s="1" t="str">
        <f>VLOOKUP(InputData[[#This Row],[CUSTOMER NAME]],Country[],3,0)</f>
        <v>Western</v>
      </c>
      <c r="I720" s="1" t="str">
        <f>TEXT(InputData[[#This Row],[DATE]],"mmmm")</f>
        <v>November</v>
      </c>
      <c r="J720" s="1" t="str">
        <f>TEXT(InputData[[#This Row],[DATE]],"ddd")</f>
        <v>Mon</v>
      </c>
      <c r="K720" s="14">
        <f>WEEKNUM(InputData[[#This Row],[DATE]])</f>
        <v>46</v>
      </c>
      <c r="N720"/>
      <c r="R720" s="3" t="s">
        <v>76</v>
      </c>
      <c r="S720" s="1" t="str">
        <f t="shared" si="22"/>
        <v>Overton Retail Solutions</v>
      </c>
      <c r="V720"/>
      <c r="Z720" s="11" t="s">
        <v>40</v>
      </c>
      <c r="AA720" s="1" t="str">
        <f t="shared" si="23"/>
        <v>Conduit Clamp 25mm</v>
      </c>
      <c r="AF720"/>
    </row>
    <row r="721" spans="1:32" x14ac:dyDescent="0.3">
      <c r="A721" s="10">
        <v>44508</v>
      </c>
      <c r="B721" s="3" t="s">
        <v>155</v>
      </c>
      <c r="C721" s="11" t="s">
        <v>264</v>
      </c>
      <c r="D721" s="12">
        <v>96.3</v>
      </c>
      <c r="E721" s="1">
        <v>11</v>
      </c>
      <c r="F721" s="13">
        <f>InputData[[#This Row],[QUANTITY]]*InputData[[#This Row],[UNIT PRICE (R)]]</f>
        <v>1059.3</v>
      </c>
      <c r="G721" s="1" t="str">
        <f>VLOOKUP(InputData[[#This Row],[CUSTOMER NAME]],Country[],2,0)</f>
        <v>Brazil</v>
      </c>
      <c r="H721" s="1" t="str">
        <f>VLOOKUP(InputData[[#This Row],[CUSTOMER NAME]],Country[],3,0)</f>
        <v>Export</v>
      </c>
      <c r="I721" s="1" t="str">
        <f>TEXT(InputData[[#This Row],[DATE]],"mmmm")</f>
        <v>November</v>
      </c>
      <c r="J721" s="1" t="str">
        <f>TEXT(InputData[[#This Row],[DATE]],"ddd")</f>
        <v>Mon</v>
      </c>
      <c r="K721" s="14">
        <f>WEEKNUM(InputData[[#This Row],[DATE]])</f>
        <v>46</v>
      </c>
      <c r="N721"/>
      <c r="R721" s="3" t="s">
        <v>97</v>
      </c>
      <c r="S721" s="1" t="str">
        <f t="shared" si="22"/>
        <v>Stonebridge Commercial</v>
      </c>
      <c r="V721"/>
      <c r="Z721" s="11" t="s">
        <v>7</v>
      </c>
      <c r="AA721" s="1" t="str">
        <f t="shared" si="23"/>
        <v>Lock Washer M8</v>
      </c>
      <c r="AF721"/>
    </row>
    <row r="722" spans="1:32" x14ac:dyDescent="0.3">
      <c r="A722" s="10">
        <v>44508</v>
      </c>
      <c r="B722" s="3" t="s">
        <v>162</v>
      </c>
      <c r="C722" s="11" t="s">
        <v>247</v>
      </c>
      <c r="D722" s="12">
        <v>210</v>
      </c>
      <c r="E722" s="1">
        <v>10</v>
      </c>
      <c r="F722" s="13">
        <f>InputData[[#This Row],[QUANTITY]]*InputData[[#This Row],[UNIT PRICE (R)]]</f>
        <v>2100</v>
      </c>
      <c r="G722" s="1" t="str">
        <f>VLOOKUP(InputData[[#This Row],[CUSTOMER NAME]],Country[],2,0)</f>
        <v>United Kingdom</v>
      </c>
      <c r="H722" s="1" t="str">
        <f>VLOOKUP(InputData[[#This Row],[CUSTOMER NAME]],Country[],3,0)</f>
        <v>Export</v>
      </c>
      <c r="I722" s="1" t="str">
        <f>TEXT(InputData[[#This Row],[DATE]],"mmmm")</f>
        <v>November</v>
      </c>
      <c r="J722" s="1" t="str">
        <f>TEXT(InputData[[#This Row],[DATE]],"ddd")</f>
        <v>Mon</v>
      </c>
      <c r="K722" s="14">
        <f>WEEKNUM(InputData[[#This Row],[DATE]])</f>
        <v>46</v>
      </c>
      <c r="N722"/>
      <c r="R722" s="3" t="s">
        <v>60</v>
      </c>
      <c r="S722" s="1" t="str">
        <f t="shared" si="22"/>
        <v>Union Cross Supply Co.</v>
      </c>
      <c r="V722"/>
      <c r="Z722" s="11" t="s">
        <v>36</v>
      </c>
      <c r="AA722" s="1" t="str">
        <f t="shared" si="23"/>
        <v>Mending Plate 100mm</v>
      </c>
      <c r="AF722"/>
    </row>
    <row r="723" spans="1:32" x14ac:dyDescent="0.3">
      <c r="A723" s="10">
        <v>44508</v>
      </c>
      <c r="B723" s="3" t="s">
        <v>167</v>
      </c>
      <c r="C723" s="11" t="s">
        <v>246</v>
      </c>
      <c r="D723" s="12">
        <v>49.21</v>
      </c>
      <c r="E723" s="1">
        <v>26</v>
      </c>
      <c r="F723" s="13">
        <f>InputData[[#This Row],[QUANTITY]]*InputData[[#This Row],[UNIT PRICE (R)]]</f>
        <v>1279.46</v>
      </c>
      <c r="G723" s="1" t="str">
        <f>VLOOKUP(InputData[[#This Row],[CUSTOMER NAME]],Country[],2,0)</f>
        <v>Ethiopia</v>
      </c>
      <c r="H723" s="1" t="str">
        <f>VLOOKUP(InputData[[#This Row],[CUSTOMER NAME]],Country[],3,0)</f>
        <v>Export</v>
      </c>
      <c r="I723" s="1" t="str">
        <f>TEXT(InputData[[#This Row],[DATE]],"mmmm")</f>
        <v>November</v>
      </c>
      <c r="J723" s="1" t="str">
        <f>TEXT(InputData[[#This Row],[DATE]],"ddd")</f>
        <v>Mon</v>
      </c>
      <c r="K723" s="14">
        <f>WEEKNUM(InputData[[#This Row],[DATE]])</f>
        <v>46</v>
      </c>
      <c r="N723"/>
      <c r="R723" s="3" t="s">
        <v>67</v>
      </c>
      <c r="S723" s="1" t="str">
        <f t="shared" si="22"/>
        <v>Ironbridge Trading Co.</v>
      </c>
      <c r="V723"/>
      <c r="Z723" s="11" t="s">
        <v>19</v>
      </c>
      <c r="AA723" s="1" t="str">
        <f t="shared" si="23"/>
        <v>Anchor Bolt M10</v>
      </c>
      <c r="AF723"/>
    </row>
    <row r="724" spans="1:32" x14ac:dyDescent="0.3">
      <c r="A724" s="10">
        <v>44508</v>
      </c>
      <c r="B724" s="3" t="s">
        <v>168</v>
      </c>
      <c r="C724" s="11" t="s">
        <v>240</v>
      </c>
      <c r="D724" s="12">
        <v>94.17</v>
      </c>
      <c r="E724" s="1">
        <v>10</v>
      </c>
      <c r="F724" s="13">
        <f>InputData[[#This Row],[QUANTITY]]*InputData[[#This Row],[UNIT PRICE (R)]]</f>
        <v>941.7</v>
      </c>
      <c r="G724" s="1" t="str">
        <f>VLOOKUP(InputData[[#This Row],[CUSTOMER NAME]],Country[],2,0)</f>
        <v>India</v>
      </c>
      <c r="H724" s="1" t="str">
        <f>VLOOKUP(InputData[[#This Row],[CUSTOMER NAME]],Country[],3,0)</f>
        <v>Northeast</v>
      </c>
      <c r="I724" s="1" t="str">
        <f>TEXT(InputData[[#This Row],[DATE]],"mmmm")</f>
        <v>November</v>
      </c>
      <c r="J724" s="1" t="str">
        <f>TEXT(InputData[[#This Row],[DATE]],"ddd")</f>
        <v>Mon</v>
      </c>
      <c r="K724" s="14">
        <f>WEEKNUM(InputData[[#This Row],[DATE]])</f>
        <v>46</v>
      </c>
      <c r="N724"/>
      <c r="R724" s="3" t="s">
        <v>72</v>
      </c>
      <c r="S724" s="1" t="str">
        <f t="shared" si="22"/>
        <v>Hendricks Mercantile</v>
      </c>
      <c r="V724"/>
      <c r="Z724" s="11" t="s">
        <v>18</v>
      </c>
      <c r="AA724" s="1" t="str">
        <f t="shared" si="23"/>
        <v>Split Pin 5mm</v>
      </c>
      <c r="AF724"/>
    </row>
    <row r="725" spans="1:32" x14ac:dyDescent="0.3">
      <c r="A725" s="10">
        <v>44509</v>
      </c>
      <c r="B725" s="3" t="s">
        <v>163</v>
      </c>
      <c r="C725" s="11" t="s">
        <v>239</v>
      </c>
      <c r="D725" s="12">
        <v>48.4</v>
      </c>
      <c r="E725" s="1">
        <v>6</v>
      </c>
      <c r="F725" s="13">
        <f>InputData[[#This Row],[QUANTITY]]*InputData[[#This Row],[UNIT PRICE (R)]]</f>
        <v>290.39999999999998</v>
      </c>
      <c r="G725" s="1" t="str">
        <f>VLOOKUP(InputData[[#This Row],[CUSTOMER NAME]],Country[],2,0)</f>
        <v>South Africa</v>
      </c>
      <c r="H725" s="1" t="str">
        <f>VLOOKUP(InputData[[#This Row],[CUSTOMER NAME]],Country[],3,0)</f>
        <v>Export</v>
      </c>
      <c r="I725" s="1" t="str">
        <f>TEXT(InputData[[#This Row],[DATE]],"mmmm")</f>
        <v>November</v>
      </c>
      <c r="J725" s="1" t="str">
        <f>TEXT(InputData[[#This Row],[DATE]],"ddd")</f>
        <v>Tue</v>
      </c>
      <c r="K725" s="14">
        <f>WEEKNUM(InputData[[#This Row],[DATE]])</f>
        <v>46</v>
      </c>
      <c r="N725"/>
      <c r="R725" s="3" t="s">
        <v>73</v>
      </c>
      <c r="S725" s="1" t="str">
        <f t="shared" si="22"/>
        <v>Ashworth Trading Group</v>
      </c>
      <c r="V725"/>
      <c r="Z725" s="11" t="s">
        <v>12</v>
      </c>
      <c r="AA725" s="1" t="str">
        <f t="shared" si="23"/>
        <v>Drywall Screw 30mm</v>
      </c>
      <c r="AF725"/>
    </row>
    <row r="726" spans="1:32" x14ac:dyDescent="0.3">
      <c r="A726" s="10">
        <v>44509</v>
      </c>
      <c r="B726" s="3" t="s">
        <v>163</v>
      </c>
      <c r="C726" s="11" t="s">
        <v>255</v>
      </c>
      <c r="D726" s="12">
        <v>57.120000000000005</v>
      </c>
      <c r="E726" s="1">
        <v>8</v>
      </c>
      <c r="F726" s="13">
        <f>InputData[[#This Row],[QUANTITY]]*InputData[[#This Row],[UNIT PRICE (R)]]</f>
        <v>456.96000000000004</v>
      </c>
      <c r="G726" s="1" t="str">
        <f>VLOOKUP(InputData[[#This Row],[CUSTOMER NAME]],Country[],2,0)</f>
        <v>South Africa</v>
      </c>
      <c r="H726" s="1" t="str">
        <f>VLOOKUP(InputData[[#This Row],[CUSTOMER NAME]],Country[],3,0)</f>
        <v>Export</v>
      </c>
      <c r="I726" s="1" t="str">
        <f>TEXT(InputData[[#This Row],[DATE]],"mmmm")</f>
        <v>November</v>
      </c>
      <c r="J726" s="1" t="str">
        <f>TEXT(InputData[[#This Row],[DATE]],"ddd")</f>
        <v>Tue</v>
      </c>
      <c r="K726" s="14">
        <f>WEEKNUM(InputData[[#This Row],[DATE]])</f>
        <v>46</v>
      </c>
      <c r="N726"/>
      <c r="R726" s="3" t="s">
        <v>68</v>
      </c>
      <c r="S726" s="1" t="str">
        <f t="shared" si="22"/>
        <v>Delacroix Wholesale</v>
      </c>
      <c r="V726"/>
      <c r="Z726" s="11" t="s">
        <v>11</v>
      </c>
      <c r="AA726" s="1" t="str">
        <f t="shared" si="23"/>
        <v>Wood Screw 40mm</v>
      </c>
      <c r="AF726"/>
    </row>
    <row r="727" spans="1:32" x14ac:dyDescent="0.3">
      <c r="A727" s="10">
        <v>44510</v>
      </c>
      <c r="B727" s="3" t="s">
        <v>146</v>
      </c>
      <c r="C727" s="11" t="s">
        <v>246</v>
      </c>
      <c r="D727" s="12">
        <v>49.21</v>
      </c>
      <c r="E727" s="1">
        <v>7</v>
      </c>
      <c r="F727" s="13">
        <f>InputData[[#This Row],[QUANTITY]]*InputData[[#This Row],[UNIT PRICE (R)]]</f>
        <v>344.47</v>
      </c>
      <c r="G727" s="1" t="str">
        <f>VLOOKUP(InputData[[#This Row],[CUSTOMER NAME]],Country[],2,0)</f>
        <v>Saudi Arabia</v>
      </c>
      <c r="H727" s="1" t="str">
        <f>VLOOKUP(InputData[[#This Row],[CUSTOMER NAME]],Country[],3,0)</f>
        <v>Export</v>
      </c>
      <c r="I727" s="1" t="str">
        <f>TEXT(InputData[[#This Row],[DATE]],"mmmm")</f>
        <v>November</v>
      </c>
      <c r="J727" s="1" t="str">
        <f>TEXT(InputData[[#This Row],[DATE]],"ddd")</f>
        <v>Wed</v>
      </c>
      <c r="K727" s="14">
        <f>WEEKNUM(InputData[[#This Row],[DATE]])</f>
        <v>46</v>
      </c>
      <c r="N727"/>
      <c r="R727" s="3" t="s">
        <v>68</v>
      </c>
      <c r="S727" s="1" t="str">
        <f t="shared" si="22"/>
        <v>Delacroix Wholesale</v>
      </c>
      <c r="V727"/>
      <c r="Z727" s="11" t="s">
        <v>27</v>
      </c>
      <c r="AA727" s="1" t="str">
        <f t="shared" si="23"/>
        <v>Padlock Hasp 100mm</v>
      </c>
      <c r="AF727"/>
    </row>
    <row r="728" spans="1:32" x14ac:dyDescent="0.3">
      <c r="A728" s="10">
        <v>44510</v>
      </c>
      <c r="B728" s="3" t="s">
        <v>150</v>
      </c>
      <c r="C728" s="11" t="s">
        <v>270</v>
      </c>
      <c r="D728" s="12">
        <v>162</v>
      </c>
      <c r="E728" s="1">
        <v>6</v>
      </c>
      <c r="F728" s="13">
        <f>InputData[[#This Row],[QUANTITY]]*InputData[[#This Row],[UNIT PRICE (R)]]</f>
        <v>972</v>
      </c>
      <c r="G728" s="1" t="str">
        <f>VLOOKUP(InputData[[#This Row],[CUSTOMER NAME]],Country[],2,0)</f>
        <v>United Kingdom</v>
      </c>
      <c r="H728" s="1" t="str">
        <f>VLOOKUP(InputData[[#This Row],[CUSTOMER NAME]],Country[],3,0)</f>
        <v>Export</v>
      </c>
      <c r="I728" s="1" t="str">
        <f>TEXT(InputData[[#This Row],[DATE]],"mmmm")</f>
        <v>November</v>
      </c>
      <c r="J728" s="1" t="str">
        <f>TEXT(InputData[[#This Row],[DATE]],"ddd")</f>
        <v>Wed</v>
      </c>
      <c r="K728" s="14">
        <f>WEEKNUM(InputData[[#This Row],[DATE]])</f>
        <v>46</v>
      </c>
      <c r="N728"/>
      <c r="R728" s="3" t="s">
        <v>51</v>
      </c>
      <c r="S728" s="1" t="str">
        <f t="shared" si="22"/>
        <v>Coastal Fittings Ltd</v>
      </c>
      <c r="V728"/>
      <c r="Z728" s="11" t="s">
        <v>18</v>
      </c>
      <c r="AA728" s="1" t="str">
        <f t="shared" si="23"/>
        <v>Split Pin 5mm</v>
      </c>
      <c r="AF728"/>
    </row>
    <row r="729" spans="1:32" x14ac:dyDescent="0.3">
      <c r="A729" s="10">
        <v>44511</v>
      </c>
      <c r="B729" s="3" t="s">
        <v>177</v>
      </c>
      <c r="C729" s="11" t="s">
        <v>268</v>
      </c>
      <c r="D729" s="12">
        <v>115.2</v>
      </c>
      <c r="E729" s="1">
        <v>12</v>
      </c>
      <c r="F729" s="13">
        <f>InputData[[#This Row],[QUANTITY]]*InputData[[#This Row],[UNIT PRICE (R)]]</f>
        <v>1382.4</v>
      </c>
      <c r="G729" s="1" t="str">
        <f>VLOOKUP(InputData[[#This Row],[CUSTOMER NAME]],Country[],2,0)</f>
        <v>India</v>
      </c>
      <c r="H729" s="1" t="str">
        <f>VLOOKUP(InputData[[#This Row],[CUSTOMER NAME]],Country[],3,0)</f>
        <v>North</v>
      </c>
      <c r="I729" s="1" t="str">
        <f>TEXT(InputData[[#This Row],[DATE]],"mmmm")</f>
        <v>November</v>
      </c>
      <c r="J729" s="1" t="str">
        <f>TEXT(InputData[[#This Row],[DATE]],"ddd")</f>
        <v>Thu</v>
      </c>
      <c r="K729" s="14">
        <f>WEEKNUM(InputData[[#This Row],[DATE]])</f>
        <v>46</v>
      </c>
      <c r="N729"/>
      <c r="R729" s="3" t="s">
        <v>55</v>
      </c>
      <c r="S729" s="1" t="str">
        <f t="shared" si="22"/>
        <v>Silverline Wholesalers</v>
      </c>
      <c r="V729"/>
      <c r="Z729" s="11" t="s">
        <v>42</v>
      </c>
      <c r="AA729" s="1" t="str">
        <f t="shared" si="23"/>
        <v>PVC Coupling 25mm</v>
      </c>
      <c r="AF729"/>
    </row>
    <row r="730" spans="1:32" x14ac:dyDescent="0.3">
      <c r="A730" s="10">
        <v>44511</v>
      </c>
      <c r="B730" s="3" t="s">
        <v>167</v>
      </c>
      <c r="C730" s="11" t="s">
        <v>266</v>
      </c>
      <c r="D730" s="12">
        <v>79.92</v>
      </c>
      <c r="E730" s="1">
        <v>16</v>
      </c>
      <c r="F730" s="13">
        <f>InputData[[#This Row],[QUANTITY]]*InputData[[#This Row],[UNIT PRICE (R)]]</f>
        <v>1278.72</v>
      </c>
      <c r="G730" s="1" t="str">
        <f>VLOOKUP(InputData[[#This Row],[CUSTOMER NAME]],Country[],2,0)</f>
        <v>Ethiopia</v>
      </c>
      <c r="H730" s="1" t="str">
        <f>VLOOKUP(InputData[[#This Row],[CUSTOMER NAME]],Country[],3,0)</f>
        <v>Export</v>
      </c>
      <c r="I730" s="1" t="str">
        <f>TEXT(InputData[[#This Row],[DATE]],"mmmm")</f>
        <v>November</v>
      </c>
      <c r="J730" s="1" t="str">
        <f>TEXT(InputData[[#This Row],[DATE]],"ddd")</f>
        <v>Thu</v>
      </c>
      <c r="K730" s="14">
        <f>WEEKNUM(InputData[[#This Row],[DATE]])</f>
        <v>46</v>
      </c>
      <c r="N730"/>
      <c r="R730" s="3" t="s">
        <v>99</v>
      </c>
      <c r="S730" s="1" t="str">
        <f t="shared" si="22"/>
        <v>Northfield Traders</v>
      </c>
      <c r="V730"/>
      <c r="Z730" s="11" t="s">
        <v>40</v>
      </c>
      <c r="AA730" s="1" t="str">
        <f t="shared" si="23"/>
        <v>Conduit Clamp 25mm</v>
      </c>
      <c r="AF730"/>
    </row>
    <row r="731" spans="1:32" x14ac:dyDescent="0.3">
      <c r="A731" s="10">
        <v>44512</v>
      </c>
      <c r="B731" s="3" t="s">
        <v>144</v>
      </c>
      <c r="C731" s="11" t="s">
        <v>263</v>
      </c>
      <c r="D731" s="12">
        <v>6.7</v>
      </c>
      <c r="E731" s="1">
        <v>6</v>
      </c>
      <c r="F731" s="13">
        <f>InputData[[#This Row],[QUANTITY]]*InputData[[#This Row],[UNIT PRICE (R)]]</f>
        <v>40.200000000000003</v>
      </c>
      <c r="G731" s="1" t="str">
        <f>VLOOKUP(InputData[[#This Row],[CUSTOMER NAME]],Country[],2,0)</f>
        <v>Bangladesh</v>
      </c>
      <c r="H731" s="1" t="str">
        <f>VLOOKUP(InputData[[#This Row],[CUSTOMER NAME]],Country[],3,0)</f>
        <v>Export</v>
      </c>
      <c r="I731" s="1" t="str">
        <f>TEXT(InputData[[#This Row],[DATE]],"mmmm")</f>
        <v>November</v>
      </c>
      <c r="J731" s="1" t="str">
        <f>TEXT(InputData[[#This Row],[DATE]],"ddd")</f>
        <v>Fri</v>
      </c>
      <c r="K731" s="14">
        <f>WEEKNUM(InputData[[#This Row],[DATE]])</f>
        <v>46</v>
      </c>
      <c r="N731"/>
      <c r="R731" s="3" t="s">
        <v>72</v>
      </c>
      <c r="S731" s="1" t="str">
        <f t="shared" si="22"/>
        <v>Hendricks Mercantile</v>
      </c>
      <c r="V731"/>
      <c r="Z731" s="11" t="s">
        <v>38</v>
      </c>
      <c r="AA731" s="1" t="str">
        <f t="shared" si="23"/>
        <v>Cable Tie 300mm</v>
      </c>
      <c r="AF731"/>
    </row>
    <row r="732" spans="1:32" x14ac:dyDescent="0.3">
      <c r="A732" s="10">
        <v>44512</v>
      </c>
      <c r="B732" s="3" t="s">
        <v>168</v>
      </c>
      <c r="C732" s="11" t="s">
        <v>238</v>
      </c>
      <c r="D732" s="12">
        <v>164.28</v>
      </c>
      <c r="E732" s="1">
        <v>3</v>
      </c>
      <c r="F732" s="13">
        <f>InputData[[#This Row],[QUANTITY]]*InputData[[#This Row],[UNIT PRICE (R)]]</f>
        <v>492.84000000000003</v>
      </c>
      <c r="G732" s="1" t="str">
        <f>VLOOKUP(InputData[[#This Row],[CUSTOMER NAME]],Country[],2,0)</f>
        <v>India</v>
      </c>
      <c r="H732" s="1" t="str">
        <f>VLOOKUP(InputData[[#This Row],[CUSTOMER NAME]],Country[],3,0)</f>
        <v>Northeast</v>
      </c>
      <c r="I732" s="1" t="str">
        <f>TEXT(InputData[[#This Row],[DATE]],"mmmm")</f>
        <v>November</v>
      </c>
      <c r="J732" s="1" t="str">
        <f>TEXT(InputData[[#This Row],[DATE]],"ddd")</f>
        <v>Fri</v>
      </c>
      <c r="K732" s="14">
        <f>WEEKNUM(InputData[[#This Row],[DATE]])</f>
        <v>46</v>
      </c>
      <c r="N732"/>
      <c r="R732" s="3" t="s">
        <v>49</v>
      </c>
      <c r="S732" s="1" t="str">
        <f t="shared" si="22"/>
        <v>Baxter &amp; Kline Supplies</v>
      </c>
      <c r="V732"/>
      <c r="Z732" s="11" t="s">
        <v>35</v>
      </c>
      <c r="AA732" s="1" t="str">
        <f t="shared" si="23"/>
        <v>T-Bracket 100mm</v>
      </c>
      <c r="AF732"/>
    </row>
    <row r="733" spans="1:32" x14ac:dyDescent="0.3">
      <c r="A733" s="10">
        <v>44513</v>
      </c>
      <c r="B733" s="3" t="s">
        <v>155</v>
      </c>
      <c r="C733" s="11" t="s">
        <v>255</v>
      </c>
      <c r="D733" s="12">
        <v>57.120000000000005</v>
      </c>
      <c r="E733" s="1">
        <v>10</v>
      </c>
      <c r="F733" s="13">
        <f>InputData[[#This Row],[QUANTITY]]*InputData[[#This Row],[UNIT PRICE (R)]]</f>
        <v>571.20000000000005</v>
      </c>
      <c r="G733" s="1" t="str">
        <f>VLOOKUP(InputData[[#This Row],[CUSTOMER NAME]],Country[],2,0)</f>
        <v>Brazil</v>
      </c>
      <c r="H733" s="1" t="str">
        <f>VLOOKUP(InputData[[#This Row],[CUSTOMER NAME]],Country[],3,0)</f>
        <v>Export</v>
      </c>
      <c r="I733" s="1" t="str">
        <f>TEXT(InputData[[#This Row],[DATE]],"mmmm")</f>
        <v>November</v>
      </c>
      <c r="J733" s="1" t="str">
        <f>TEXT(InputData[[#This Row],[DATE]],"ddd")</f>
        <v>Sat</v>
      </c>
      <c r="K733" s="14">
        <f>WEEKNUM(InputData[[#This Row],[DATE]])</f>
        <v>46</v>
      </c>
      <c r="N733"/>
      <c r="R733" s="3" t="s">
        <v>73</v>
      </c>
      <c r="S733" s="1" t="str">
        <f t="shared" si="22"/>
        <v>Ashworth Trading Group</v>
      </c>
      <c r="V733"/>
      <c r="Z733" s="11" t="s">
        <v>10</v>
      </c>
      <c r="AA733" s="1" t="str">
        <f t="shared" si="23"/>
        <v>Self-Tapping Screw 25mm</v>
      </c>
      <c r="AF733"/>
    </row>
    <row r="734" spans="1:32" x14ac:dyDescent="0.3">
      <c r="A734" s="10">
        <v>44514</v>
      </c>
      <c r="B734" s="3" t="s">
        <v>152</v>
      </c>
      <c r="C734" s="11" t="s">
        <v>230</v>
      </c>
      <c r="D734" s="12">
        <v>142.80000000000001</v>
      </c>
      <c r="E734" s="1">
        <v>1</v>
      </c>
      <c r="F734" s="13">
        <f>InputData[[#This Row],[QUANTITY]]*InputData[[#This Row],[UNIT PRICE (R)]]</f>
        <v>142.80000000000001</v>
      </c>
      <c r="G734" s="1" t="str">
        <f>VLOOKUP(InputData[[#This Row],[CUSTOMER NAME]],Country[],2,0)</f>
        <v>India</v>
      </c>
      <c r="H734" s="1" t="str">
        <f>VLOOKUP(InputData[[#This Row],[CUSTOMER NAME]],Country[],3,0)</f>
        <v>South</v>
      </c>
      <c r="I734" s="1" t="str">
        <f>TEXT(InputData[[#This Row],[DATE]],"mmmm")</f>
        <v>November</v>
      </c>
      <c r="J734" s="1" t="str">
        <f>TEXT(InputData[[#This Row],[DATE]],"ddd")</f>
        <v>Sun</v>
      </c>
      <c r="K734" s="14">
        <f>WEEKNUM(InputData[[#This Row],[DATE]])</f>
        <v>47</v>
      </c>
      <c r="N734"/>
      <c r="R734" s="3" t="s">
        <v>60</v>
      </c>
      <c r="S734" s="1" t="str">
        <f t="shared" si="22"/>
        <v>Union Cross Supply Co.</v>
      </c>
      <c r="V734"/>
      <c r="Z734" s="11" t="s">
        <v>27</v>
      </c>
      <c r="AA734" s="1" t="str">
        <f t="shared" si="23"/>
        <v>Padlock Hasp 100mm</v>
      </c>
      <c r="AF734"/>
    </row>
    <row r="735" spans="1:32" x14ac:dyDescent="0.3">
      <c r="A735" s="10">
        <v>44515</v>
      </c>
      <c r="B735" s="3" t="s">
        <v>143</v>
      </c>
      <c r="C735" s="11" t="s">
        <v>255</v>
      </c>
      <c r="D735" s="12">
        <v>57.120000000000005</v>
      </c>
      <c r="E735" s="1">
        <v>36</v>
      </c>
      <c r="F735" s="13">
        <f>InputData[[#This Row],[QUANTITY]]*InputData[[#This Row],[UNIT PRICE (R)]]</f>
        <v>2056.3200000000002</v>
      </c>
      <c r="G735" s="1" t="str">
        <f>VLOOKUP(InputData[[#This Row],[CUSTOMER NAME]],Country[],2,0)</f>
        <v>Nigeria</v>
      </c>
      <c r="H735" s="1" t="str">
        <f>VLOOKUP(InputData[[#This Row],[CUSTOMER NAME]],Country[],3,0)</f>
        <v>Export</v>
      </c>
      <c r="I735" s="1" t="str">
        <f>TEXT(InputData[[#This Row],[DATE]],"mmmm")</f>
        <v>November</v>
      </c>
      <c r="J735" s="1" t="str">
        <f>TEXT(InputData[[#This Row],[DATE]],"ddd")</f>
        <v>Mon</v>
      </c>
      <c r="K735" s="14">
        <f>WEEKNUM(InputData[[#This Row],[DATE]])</f>
        <v>47</v>
      </c>
      <c r="N735"/>
      <c r="R735" s="3" t="s">
        <v>57</v>
      </c>
      <c r="S735" s="1" t="str">
        <f t="shared" si="22"/>
        <v>Ashcombe Traders</v>
      </c>
      <c r="V735"/>
      <c r="Z735" s="11" t="s">
        <v>2</v>
      </c>
      <c r="AA735" s="1" t="str">
        <f t="shared" si="23"/>
        <v>Hex Bolt M10</v>
      </c>
      <c r="AF735"/>
    </row>
    <row r="736" spans="1:32" x14ac:dyDescent="0.3">
      <c r="A736" s="10">
        <v>44515</v>
      </c>
      <c r="B736" s="3" t="s">
        <v>164</v>
      </c>
      <c r="C736" s="11" t="s">
        <v>240</v>
      </c>
      <c r="D736" s="12">
        <v>94.17</v>
      </c>
      <c r="E736" s="1">
        <v>14</v>
      </c>
      <c r="F736" s="13">
        <f>InputData[[#This Row],[QUANTITY]]*InputData[[#This Row],[UNIT PRICE (R)]]</f>
        <v>1318.38</v>
      </c>
      <c r="G736" s="1" t="str">
        <f>VLOOKUP(InputData[[#This Row],[CUSTOMER NAME]],Country[],2,0)</f>
        <v>India</v>
      </c>
      <c r="H736" s="1" t="str">
        <f>VLOOKUP(InputData[[#This Row],[CUSTOMER NAME]],Country[],3,0)</f>
        <v>East</v>
      </c>
      <c r="I736" s="1" t="str">
        <f>TEXT(InputData[[#This Row],[DATE]],"mmmm")</f>
        <v>November</v>
      </c>
      <c r="J736" s="1" t="str">
        <f>TEXT(InputData[[#This Row],[DATE]],"ddd")</f>
        <v>Mon</v>
      </c>
      <c r="K736" s="14">
        <f>WEEKNUM(InputData[[#This Row],[DATE]])</f>
        <v>47</v>
      </c>
      <c r="N736"/>
      <c r="R736" s="3" t="s">
        <v>48</v>
      </c>
      <c r="S736" s="1" t="str">
        <f t="shared" si="22"/>
        <v>Thornwell Trading</v>
      </c>
      <c r="V736"/>
      <c r="Z736" s="11" t="s">
        <v>27</v>
      </c>
      <c r="AA736" s="1" t="str">
        <f t="shared" si="23"/>
        <v>Padlock Hasp 100mm</v>
      </c>
      <c r="AF736"/>
    </row>
    <row r="737" spans="1:32" x14ac:dyDescent="0.3">
      <c r="A737" s="10">
        <v>44516</v>
      </c>
      <c r="B737" s="3" t="s">
        <v>164</v>
      </c>
      <c r="C737" s="11" t="s">
        <v>245</v>
      </c>
      <c r="D737" s="12">
        <v>156.78</v>
      </c>
      <c r="E737" s="1">
        <v>8</v>
      </c>
      <c r="F737" s="13">
        <f>InputData[[#This Row],[QUANTITY]]*InputData[[#This Row],[UNIT PRICE (R)]]</f>
        <v>1254.24</v>
      </c>
      <c r="G737" s="1" t="str">
        <f>VLOOKUP(InputData[[#This Row],[CUSTOMER NAME]],Country[],2,0)</f>
        <v>India</v>
      </c>
      <c r="H737" s="1" t="str">
        <f>VLOOKUP(InputData[[#This Row],[CUSTOMER NAME]],Country[],3,0)</f>
        <v>East</v>
      </c>
      <c r="I737" s="1" t="str">
        <f>TEXT(InputData[[#This Row],[DATE]],"mmmm")</f>
        <v>November</v>
      </c>
      <c r="J737" s="1" t="str">
        <f>TEXT(InputData[[#This Row],[DATE]],"ddd")</f>
        <v>Tue</v>
      </c>
      <c r="K737" s="14">
        <f>WEEKNUM(InputData[[#This Row],[DATE]])</f>
        <v>47</v>
      </c>
      <c r="N737"/>
      <c r="R737" s="3" t="s">
        <v>69</v>
      </c>
      <c r="S737" s="1" t="str">
        <f t="shared" si="22"/>
        <v>Southcote Industries</v>
      </c>
      <c r="V737"/>
      <c r="Z737" s="11" t="s">
        <v>12</v>
      </c>
      <c r="AA737" s="1" t="str">
        <f t="shared" si="23"/>
        <v>Drywall Screw 30mm</v>
      </c>
      <c r="AF737"/>
    </row>
    <row r="738" spans="1:32" x14ac:dyDescent="0.3">
      <c r="A738" s="10">
        <v>44517</v>
      </c>
      <c r="B738" s="3" t="s">
        <v>173</v>
      </c>
      <c r="C738" s="11" t="s">
        <v>266</v>
      </c>
      <c r="D738" s="12">
        <v>79.92</v>
      </c>
      <c r="E738" s="1">
        <v>33</v>
      </c>
      <c r="F738" s="13">
        <f>InputData[[#This Row],[QUANTITY]]*InputData[[#This Row],[UNIT PRICE (R)]]</f>
        <v>2637.36</v>
      </c>
      <c r="G738" s="1" t="str">
        <f>VLOOKUP(InputData[[#This Row],[CUSTOMER NAME]],Country[],2,0)</f>
        <v>India</v>
      </c>
      <c r="H738" s="1" t="str">
        <f>VLOOKUP(InputData[[#This Row],[CUSTOMER NAME]],Country[],3,0)</f>
        <v>North</v>
      </c>
      <c r="I738" s="1" t="str">
        <f>TEXT(InputData[[#This Row],[DATE]],"mmmm")</f>
        <v>November</v>
      </c>
      <c r="J738" s="1" t="str">
        <f>TEXT(InputData[[#This Row],[DATE]],"ddd")</f>
        <v>Wed</v>
      </c>
      <c r="K738" s="14">
        <f>WEEKNUM(InputData[[#This Row],[DATE]])</f>
        <v>47</v>
      </c>
      <c r="N738"/>
      <c r="R738" s="3" t="s">
        <v>69</v>
      </c>
      <c r="S738" s="1" t="str">
        <f t="shared" si="22"/>
        <v>Southcote Industries</v>
      </c>
      <c r="V738"/>
      <c r="Z738" s="11" t="s">
        <v>17</v>
      </c>
      <c r="AA738" s="1" t="str">
        <f t="shared" si="23"/>
        <v>Cotter Pin 3mm</v>
      </c>
      <c r="AF738"/>
    </row>
    <row r="739" spans="1:32" x14ac:dyDescent="0.3">
      <c r="A739" s="10">
        <v>44518</v>
      </c>
      <c r="B739" s="3" t="s">
        <v>148</v>
      </c>
      <c r="C739" s="11" t="s">
        <v>272</v>
      </c>
      <c r="D739" s="12">
        <v>82.08</v>
      </c>
      <c r="E739" s="1">
        <v>18</v>
      </c>
      <c r="F739" s="13">
        <f>InputData[[#This Row],[QUANTITY]]*InputData[[#This Row],[UNIT PRICE (R)]]</f>
        <v>1477.44</v>
      </c>
      <c r="G739" s="1" t="str">
        <f>VLOOKUP(InputData[[#This Row],[CUSTOMER NAME]],Country[],2,0)</f>
        <v>Pakistan</v>
      </c>
      <c r="H739" s="1" t="str">
        <f>VLOOKUP(InputData[[#This Row],[CUSTOMER NAME]],Country[],3,0)</f>
        <v>Export</v>
      </c>
      <c r="I739" s="1" t="str">
        <f>TEXT(InputData[[#This Row],[DATE]],"mmmm")</f>
        <v>November</v>
      </c>
      <c r="J739" s="1" t="str">
        <f>TEXT(InputData[[#This Row],[DATE]],"ddd")</f>
        <v>Thu</v>
      </c>
      <c r="K739" s="14">
        <f>WEEKNUM(InputData[[#This Row],[DATE]])</f>
        <v>47</v>
      </c>
      <c r="N739"/>
      <c r="R739" s="3" t="s">
        <v>95</v>
      </c>
      <c r="S739" s="1" t="str">
        <f t="shared" si="22"/>
        <v>Cobalt Point Supplies</v>
      </c>
      <c r="V739"/>
      <c r="Z739" s="11" t="s">
        <v>38</v>
      </c>
      <c r="AA739" s="1" t="str">
        <f t="shared" si="23"/>
        <v>Cable Tie 300mm</v>
      </c>
      <c r="AF739"/>
    </row>
    <row r="740" spans="1:32" x14ac:dyDescent="0.3">
      <c r="A740" s="10">
        <v>44518</v>
      </c>
      <c r="B740" s="3" t="s">
        <v>163</v>
      </c>
      <c r="C740" s="11" t="s">
        <v>262</v>
      </c>
      <c r="D740" s="12">
        <v>58.3</v>
      </c>
      <c r="E740" s="1">
        <v>8</v>
      </c>
      <c r="F740" s="13">
        <f>InputData[[#This Row],[QUANTITY]]*InputData[[#This Row],[UNIT PRICE (R)]]</f>
        <v>466.4</v>
      </c>
      <c r="G740" s="1" t="str">
        <f>VLOOKUP(InputData[[#This Row],[CUSTOMER NAME]],Country[],2,0)</f>
        <v>South Africa</v>
      </c>
      <c r="H740" s="1" t="str">
        <f>VLOOKUP(InputData[[#This Row],[CUSTOMER NAME]],Country[],3,0)</f>
        <v>Export</v>
      </c>
      <c r="I740" s="1" t="str">
        <f>TEXT(InputData[[#This Row],[DATE]],"mmmm")</f>
        <v>November</v>
      </c>
      <c r="J740" s="1" t="str">
        <f>TEXT(InputData[[#This Row],[DATE]],"ddd")</f>
        <v>Thu</v>
      </c>
      <c r="K740" s="14">
        <f>WEEKNUM(InputData[[#This Row],[DATE]])</f>
        <v>47</v>
      </c>
      <c r="N740"/>
      <c r="R740" s="3" t="s">
        <v>53</v>
      </c>
      <c r="S740" s="1" t="str">
        <f t="shared" si="22"/>
        <v>Vantage Point Retailers</v>
      </c>
      <c r="V740"/>
      <c r="Z740" s="11" t="s">
        <v>44</v>
      </c>
      <c r="AA740" s="1" t="str">
        <f t="shared" si="23"/>
        <v>Brass Elbow Joint 20mm</v>
      </c>
      <c r="AF740"/>
    </row>
    <row r="741" spans="1:32" x14ac:dyDescent="0.3">
      <c r="A741" s="10">
        <v>44518</v>
      </c>
      <c r="B741" s="3" t="s">
        <v>180</v>
      </c>
      <c r="C741" s="11" t="s">
        <v>267</v>
      </c>
      <c r="D741" s="12">
        <v>42.55</v>
      </c>
      <c r="E741" s="1">
        <v>4</v>
      </c>
      <c r="F741" s="13">
        <f>InputData[[#This Row],[QUANTITY]]*InputData[[#This Row],[UNIT PRICE (R)]]</f>
        <v>170.2</v>
      </c>
      <c r="G741" s="1" t="str">
        <f>VLOOKUP(InputData[[#This Row],[CUSTOMER NAME]],Country[],2,0)</f>
        <v>India</v>
      </c>
      <c r="H741" s="1" t="str">
        <f>VLOOKUP(InputData[[#This Row],[CUSTOMER NAME]],Country[],3,0)</f>
        <v>Northeast</v>
      </c>
      <c r="I741" s="1" t="str">
        <f>TEXT(InputData[[#This Row],[DATE]],"mmmm")</f>
        <v>November</v>
      </c>
      <c r="J741" s="1" t="str">
        <f>TEXT(InputData[[#This Row],[DATE]],"ddd")</f>
        <v>Thu</v>
      </c>
      <c r="K741" s="14">
        <f>WEEKNUM(InputData[[#This Row],[DATE]])</f>
        <v>47</v>
      </c>
      <c r="N741"/>
      <c r="R741" s="3" t="s">
        <v>68</v>
      </c>
      <c r="S741" s="1" t="str">
        <f t="shared" si="22"/>
        <v>Delacroix Wholesale</v>
      </c>
      <c r="V741"/>
      <c r="Z741" s="11" t="s">
        <v>34</v>
      </c>
      <c r="AA741" s="1" t="str">
        <f t="shared" si="23"/>
        <v>L-Bracket 75mm</v>
      </c>
      <c r="AF741"/>
    </row>
    <row r="742" spans="1:32" x14ac:dyDescent="0.3">
      <c r="A742" s="10">
        <v>44519</v>
      </c>
      <c r="B742" s="3" t="s">
        <v>170</v>
      </c>
      <c r="C742" s="11" t="s">
        <v>246</v>
      </c>
      <c r="D742" s="12">
        <v>49.21</v>
      </c>
      <c r="E742" s="1">
        <v>4</v>
      </c>
      <c r="F742" s="13">
        <f>InputData[[#This Row],[QUANTITY]]*InputData[[#This Row],[UNIT PRICE (R)]]</f>
        <v>196.84</v>
      </c>
      <c r="G742" s="1" t="str">
        <f>VLOOKUP(InputData[[#This Row],[CUSTOMER NAME]],Country[],2,0)</f>
        <v>France</v>
      </c>
      <c r="H742" s="1" t="str">
        <f>VLOOKUP(InputData[[#This Row],[CUSTOMER NAME]],Country[],3,0)</f>
        <v>Export</v>
      </c>
      <c r="I742" s="1" t="str">
        <f>TEXT(InputData[[#This Row],[DATE]],"mmmm")</f>
        <v>November</v>
      </c>
      <c r="J742" s="1" t="str">
        <f>TEXT(InputData[[#This Row],[DATE]],"ddd")</f>
        <v>Fri</v>
      </c>
      <c r="K742" s="14">
        <f>WEEKNUM(InputData[[#This Row],[DATE]])</f>
        <v>47</v>
      </c>
      <c r="N742"/>
      <c r="R742" s="3" t="s">
        <v>102</v>
      </c>
      <c r="S742" s="1" t="str">
        <f t="shared" si="22"/>
        <v>Kingsmead Distribution</v>
      </c>
      <c r="V742"/>
      <c r="Z742" s="11" t="s">
        <v>39</v>
      </c>
      <c r="AA742" s="1" t="str">
        <f t="shared" si="23"/>
        <v>Cable Clip 20mm</v>
      </c>
      <c r="AF742"/>
    </row>
    <row r="743" spans="1:32" x14ac:dyDescent="0.3">
      <c r="A743" s="10">
        <v>44520</v>
      </c>
      <c r="B743" s="3" t="s">
        <v>152</v>
      </c>
      <c r="C743" s="11" t="s">
        <v>236</v>
      </c>
      <c r="D743" s="12">
        <v>94.62</v>
      </c>
      <c r="E743" s="1">
        <v>11</v>
      </c>
      <c r="F743" s="13">
        <f>InputData[[#This Row],[QUANTITY]]*InputData[[#This Row],[UNIT PRICE (R)]]</f>
        <v>1040.8200000000002</v>
      </c>
      <c r="G743" s="1" t="str">
        <f>VLOOKUP(InputData[[#This Row],[CUSTOMER NAME]],Country[],2,0)</f>
        <v>India</v>
      </c>
      <c r="H743" s="1" t="str">
        <f>VLOOKUP(InputData[[#This Row],[CUSTOMER NAME]],Country[],3,0)</f>
        <v>South</v>
      </c>
      <c r="I743" s="1" t="str">
        <f>TEXT(InputData[[#This Row],[DATE]],"mmmm")</f>
        <v>November</v>
      </c>
      <c r="J743" s="1" t="str">
        <f>TEXT(InputData[[#This Row],[DATE]],"ddd")</f>
        <v>Sat</v>
      </c>
      <c r="K743" s="14">
        <f>WEEKNUM(InputData[[#This Row],[DATE]])</f>
        <v>47</v>
      </c>
      <c r="N743"/>
      <c r="R743" s="3" t="s">
        <v>75</v>
      </c>
      <c r="S743" s="1" t="str">
        <f t="shared" si="22"/>
        <v>Cranfield &amp; Co.</v>
      </c>
      <c r="V743"/>
      <c r="Z743" s="11" t="s">
        <v>18</v>
      </c>
      <c r="AA743" s="1" t="str">
        <f t="shared" si="23"/>
        <v>Split Pin 5mm</v>
      </c>
      <c r="AF743"/>
    </row>
    <row r="744" spans="1:32" x14ac:dyDescent="0.3">
      <c r="A744" s="10">
        <v>44520</v>
      </c>
      <c r="B744" s="3" t="s">
        <v>178</v>
      </c>
      <c r="C744" s="11" t="s">
        <v>250</v>
      </c>
      <c r="D744" s="12">
        <v>141.57</v>
      </c>
      <c r="E744" s="1">
        <v>34</v>
      </c>
      <c r="F744" s="13">
        <f>InputData[[#This Row],[QUANTITY]]*InputData[[#This Row],[UNIT PRICE (R)]]</f>
        <v>4813.38</v>
      </c>
      <c r="G744" s="1" t="str">
        <f>VLOOKUP(InputData[[#This Row],[CUSTOMER NAME]],Country[],2,0)</f>
        <v>Pakistan</v>
      </c>
      <c r="H744" s="1" t="str">
        <f>VLOOKUP(InputData[[#This Row],[CUSTOMER NAME]],Country[],3,0)</f>
        <v>Export</v>
      </c>
      <c r="I744" s="1" t="str">
        <f>TEXT(InputData[[#This Row],[DATE]],"mmmm")</f>
        <v>November</v>
      </c>
      <c r="J744" s="1" t="str">
        <f>TEXT(InputData[[#This Row],[DATE]],"ddd")</f>
        <v>Sat</v>
      </c>
      <c r="K744" s="14">
        <f>WEEKNUM(InputData[[#This Row],[DATE]])</f>
        <v>47</v>
      </c>
      <c r="N744"/>
      <c r="R744" s="3" t="s">
        <v>57</v>
      </c>
      <c r="S744" s="1" t="str">
        <f t="shared" si="22"/>
        <v>Ashcombe Traders</v>
      </c>
      <c r="V744"/>
      <c r="Z744" s="11" t="s">
        <v>8</v>
      </c>
      <c r="AA744" s="1" t="str">
        <f t="shared" si="23"/>
        <v>Flat Washer M10</v>
      </c>
      <c r="AF744"/>
    </row>
    <row r="745" spans="1:32" x14ac:dyDescent="0.3">
      <c r="A745" s="10">
        <v>44520</v>
      </c>
      <c r="B745" s="3" t="s">
        <v>170</v>
      </c>
      <c r="C745" s="11" t="s">
        <v>262</v>
      </c>
      <c r="D745" s="12">
        <v>58.3</v>
      </c>
      <c r="E745" s="1">
        <v>14</v>
      </c>
      <c r="F745" s="13">
        <f>InputData[[#This Row],[QUANTITY]]*InputData[[#This Row],[UNIT PRICE (R)]]</f>
        <v>816.19999999999993</v>
      </c>
      <c r="G745" s="1" t="str">
        <f>VLOOKUP(InputData[[#This Row],[CUSTOMER NAME]],Country[],2,0)</f>
        <v>France</v>
      </c>
      <c r="H745" s="1" t="str">
        <f>VLOOKUP(InputData[[#This Row],[CUSTOMER NAME]],Country[],3,0)</f>
        <v>Export</v>
      </c>
      <c r="I745" s="1" t="str">
        <f>TEXT(InputData[[#This Row],[DATE]],"mmmm")</f>
        <v>November</v>
      </c>
      <c r="J745" s="1" t="str">
        <f>TEXT(InputData[[#This Row],[DATE]],"ddd")</f>
        <v>Sat</v>
      </c>
      <c r="K745" s="14">
        <f>WEEKNUM(InputData[[#This Row],[DATE]])</f>
        <v>47</v>
      </c>
      <c r="N745"/>
      <c r="R745" s="3" t="s">
        <v>100</v>
      </c>
      <c r="S745" s="1" t="str">
        <f t="shared" si="22"/>
        <v>Pemberton &amp; Associates</v>
      </c>
      <c r="V745"/>
      <c r="Z745" s="11" t="s">
        <v>22</v>
      </c>
      <c r="AA745" s="1" t="str">
        <f t="shared" si="23"/>
        <v>Hose Clamp 32mm</v>
      </c>
      <c r="AF745"/>
    </row>
    <row r="746" spans="1:32" x14ac:dyDescent="0.3">
      <c r="A746" s="10">
        <v>44521</v>
      </c>
      <c r="B746" s="3" t="s">
        <v>173</v>
      </c>
      <c r="C746" s="11" t="s">
        <v>234</v>
      </c>
      <c r="D746" s="12">
        <v>85.5</v>
      </c>
      <c r="E746" s="1">
        <v>1</v>
      </c>
      <c r="F746" s="13">
        <f>InputData[[#This Row],[QUANTITY]]*InputData[[#This Row],[UNIT PRICE (R)]]</f>
        <v>85.5</v>
      </c>
      <c r="G746" s="1" t="str">
        <f>VLOOKUP(InputData[[#This Row],[CUSTOMER NAME]],Country[],2,0)</f>
        <v>India</v>
      </c>
      <c r="H746" s="1" t="str">
        <f>VLOOKUP(InputData[[#This Row],[CUSTOMER NAME]],Country[],3,0)</f>
        <v>North</v>
      </c>
      <c r="I746" s="1" t="str">
        <f>TEXT(InputData[[#This Row],[DATE]],"mmmm")</f>
        <v>November</v>
      </c>
      <c r="J746" s="1" t="str">
        <f>TEXT(InputData[[#This Row],[DATE]],"ddd")</f>
        <v>Sun</v>
      </c>
      <c r="K746" s="14">
        <f>WEEKNUM(InputData[[#This Row],[DATE]])</f>
        <v>48</v>
      </c>
      <c r="N746"/>
      <c r="R746" s="3" t="s">
        <v>75</v>
      </c>
      <c r="S746" s="1" t="str">
        <f t="shared" si="22"/>
        <v>Cranfield &amp; Co.</v>
      </c>
      <c r="V746"/>
      <c r="Z746" s="11" t="s">
        <v>34</v>
      </c>
      <c r="AA746" s="1" t="str">
        <f t="shared" si="23"/>
        <v>L-Bracket 75mm</v>
      </c>
      <c r="AF746"/>
    </row>
    <row r="747" spans="1:32" x14ac:dyDescent="0.3">
      <c r="A747" s="10">
        <v>44521</v>
      </c>
      <c r="B747" s="3" t="s">
        <v>175</v>
      </c>
      <c r="C747" s="11" t="s">
        <v>269</v>
      </c>
      <c r="D747" s="12">
        <v>173.88</v>
      </c>
      <c r="E747" s="1">
        <v>24</v>
      </c>
      <c r="F747" s="13">
        <f>InputData[[#This Row],[QUANTITY]]*InputData[[#This Row],[UNIT PRICE (R)]]</f>
        <v>4173.12</v>
      </c>
      <c r="G747" s="1" t="str">
        <f>VLOOKUP(InputData[[#This Row],[CUSTOMER NAME]],Country[],2,0)</f>
        <v>India</v>
      </c>
      <c r="H747" s="1" t="str">
        <f>VLOOKUP(InputData[[#This Row],[CUSTOMER NAME]],Country[],3,0)</f>
        <v>Western</v>
      </c>
      <c r="I747" s="1" t="str">
        <f>TEXT(InputData[[#This Row],[DATE]],"mmmm")</f>
        <v>November</v>
      </c>
      <c r="J747" s="1" t="str">
        <f>TEXT(InputData[[#This Row],[DATE]],"ddd")</f>
        <v>Sun</v>
      </c>
      <c r="K747" s="14">
        <f>WEEKNUM(InputData[[#This Row],[DATE]])</f>
        <v>48</v>
      </c>
      <c r="N747"/>
      <c r="R747" s="3" t="s">
        <v>95</v>
      </c>
      <c r="S747" s="1" t="str">
        <f t="shared" si="22"/>
        <v>Cobalt Point Supplies</v>
      </c>
      <c r="V747"/>
      <c r="Z747" s="11" t="s">
        <v>6</v>
      </c>
      <c r="AA747" s="1" t="str">
        <f t="shared" si="23"/>
        <v>Flange Nut M10</v>
      </c>
      <c r="AF747"/>
    </row>
    <row r="748" spans="1:32" x14ac:dyDescent="0.3">
      <c r="A748" s="10">
        <v>44521</v>
      </c>
      <c r="B748" s="3" t="s">
        <v>150</v>
      </c>
      <c r="C748" s="11" t="s">
        <v>248</v>
      </c>
      <c r="D748" s="12">
        <v>76.25</v>
      </c>
      <c r="E748" s="1">
        <v>6</v>
      </c>
      <c r="F748" s="13">
        <f>InputData[[#This Row],[QUANTITY]]*InputData[[#This Row],[UNIT PRICE (R)]]</f>
        <v>457.5</v>
      </c>
      <c r="G748" s="1" t="str">
        <f>VLOOKUP(InputData[[#This Row],[CUSTOMER NAME]],Country[],2,0)</f>
        <v>United Kingdom</v>
      </c>
      <c r="H748" s="1" t="str">
        <f>VLOOKUP(InputData[[#This Row],[CUSTOMER NAME]],Country[],3,0)</f>
        <v>Export</v>
      </c>
      <c r="I748" s="1" t="str">
        <f>TEXT(InputData[[#This Row],[DATE]],"mmmm")</f>
        <v>November</v>
      </c>
      <c r="J748" s="1" t="str">
        <f>TEXT(InputData[[#This Row],[DATE]],"ddd")</f>
        <v>Sun</v>
      </c>
      <c r="K748" s="14">
        <f>WEEKNUM(InputData[[#This Row],[DATE]])</f>
        <v>48</v>
      </c>
      <c r="N748"/>
      <c r="R748" s="3" t="s">
        <v>97</v>
      </c>
      <c r="S748" s="1" t="str">
        <f t="shared" si="22"/>
        <v>Stonebridge Commercial</v>
      </c>
      <c r="V748"/>
      <c r="Z748" s="11" t="s">
        <v>41</v>
      </c>
      <c r="AA748" s="1" t="str">
        <f t="shared" si="23"/>
        <v>PVC Elbow 20mm</v>
      </c>
      <c r="AF748"/>
    </row>
    <row r="749" spans="1:32" x14ac:dyDescent="0.3">
      <c r="A749" s="10">
        <v>44521</v>
      </c>
      <c r="B749" s="3" t="s">
        <v>161</v>
      </c>
      <c r="C749" s="11" t="s">
        <v>270</v>
      </c>
      <c r="D749" s="12">
        <v>162</v>
      </c>
      <c r="E749" s="1">
        <v>10</v>
      </c>
      <c r="F749" s="13">
        <f>InputData[[#This Row],[QUANTITY]]*InputData[[#This Row],[UNIT PRICE (R)]]</f>
        <v>1620</v>
      </c>
      <c r="G749" s="1" t="str">
        <f>VLOOKUP(InputData[[#This Row],[CUSTOMER NAME]],Country[],2,0)</f>
        <v>India</v>
      </c>
      <c r="H749" s="1" t="str">
        <f>VLOOKUP(InputData[[#This Row],[CUSTOMER NAME]],Country[],3,0)</f>
        <v>Central</v>
      </c>
      <c r="I749" s="1" t="str">
        <f>TEXT(InputData[[#This Row],[DATE]],"mmmm")</f>
        <v>November</v>
      </c>
      <c r="J749" s="1" t="str">
        <f>TEXT(InputData[[#This Row],[DATE]],"ddd")</f>
        <v>Sun</v>
      </c>
      <c r="K749" s="14">
        <f>WEEKNUM(InputData[[#This Row],[DATE]])</f>
        <v>48</v>
      </c>
      <c r="N749"/>
      <c r="R749" s="3" t="s">
        <v>55</v>
      </c>
      <c r="S749" s="1" t="str">
        <f t="shared" si="22"/>
        <v>Silverline Wholesalers</v>
      </c>
      <c r="V749"/>
      <c r="Z749" s="11" t="s">
        <v>20</v>
      </c>
      <c r="AA749" s="1" t="str">
        <f t="shared" si="23"/>
        <v>Toggle Bolt M6</v>
      </c>
      <c r="AF749"/>
    </row>
    <row r="750" spans="1:32" x14ac:dyDescent="0.3">
      <c r="A750" s="10">
        <v>44521</v>
      </c>
      <c r="B750" s="3" t="s">
        <v>181</v>
      </c>
      <c r="C750" s="11" t="s">
        <v>242</v>
      </c>
      <c r="D750" s="12">
        <v>146.72</v>
      </c>
      <c r="E750" s="1">
        <v>1</v>
      </c>
      <c r="F750" s="13">
        <f>InputData[[#This Row],[QUANTITY]]*InputData[[#This Row],[UNIT PRICE (R)]]</f>
        <v>146.72</v>
      </c>
      <c r="G750" s="1" t="str">
        <f>VLOOKUP(InputData[[#This Row],[CUSTOMER NAME]],Country[],2,0)</f>
        <v>Germany</v>
      </c>
      <c r="H750" s="1" t="str">
        <f>VLOOKUP(InputData[[#This Row],[CUSTOMER NAME]],Country[],3,0)</f>
        <v>Export</v>
      </c>
      <c r="I750" s="1" t="str">
        <f>TEXT(InputData[[#This Row],[DATE]],"mmmm")</f>
        <v>November</v>
      </c>
      <c r="J750" s="1" t="str">
        <f>TEXT(InputData[[#This Row],[DATE]],"ddd")</f>
        <v>Sun</v>
      </c>
      <c r="K750" s="14">
        <f>WEEKNUM(InputData[[#This Row],[DATE]])</f>
        <v>48</v>
      </c>
      <c r="N750"/>
      <c r="R750" s="3" t="s">
        <v>66</v>
      </c>
      <c r="S750" s="1" t="str">
        <f t="shared" si="22"/>
        <v>Whitfield Distributors</v>
      </c>
      <c r="V750"/>
      <c r="Z750" s="11" t="s">
        <v>42</v>
      </c>
      <c r="AA750" s="1" t="str">
        <f t="shared" si="23"/>
        <v>PVC Coupling 25mm</v>
      </c>
      <c r="AF750"/>
    </row>
    <row r="751" spans="1:32" x14ac:dyDescent="0.3">
      <c r="A751" s="10">
        <v>44522</v>
      </c>
      <c r="B751" s="3" t="s">
        <v>165</v>
      </c>
      <c r="C751" s="11" t="s">
        <v>245</v>
      </c>
      <c r="D751" s="12">
        <v>156.78</v>
      </c>
      <c r="E751" s="1">
        <v>35</v>
      </c>
      <c r="F751" s="13">
        <f>InputData[[#This Row],[QUANTITY]]*InputData[[#This Row],[UNIT PRICE (R)]]</f>
        <v>5487.3</v>
      </c>
      <c r="G751" s="1" t="str">
        <f>VLOOKUP(InputData[[#This Row],[CUSTOMER NAME]],Country[],2,0)</f>
        <v>India</v>
      </c>
      <c r="H751" s="1" t="str">
        <f>VLOOKUP(InputData[[#This Row],[CUSTOMER NAME]],Country[],3,0)</f>
        <v>Western</v>
      </c>
      <c r="I751" s="1" t="str">
        <f>TEXT(InputData[[#This Row],[DATE]],"mmmm")</f>
        <v>November</v>
      </c>
      <c r="J751" s="1" t="str">
        <f>TEXT(InputData[[#This Row],[DATE]],"ddd")</f>
        <v>Mon</v>
      </c>
      <c r="K751" s="14">
        <f>WEEKNUM(InputData[[#This Row],[DATE]])</f>
        <v>48</v>
      </c>
      <c r="N751"/>
      <c r="R751" s="3" t="s">
        <v>103</v>
      </c>
      <c r="S751" s="1" t="str">
        <f t="shared" si="22"/>
        <v>Vesterly Traders</v>
      </c>
      <c r="V751"/>
      <c r="Z751" s="11" t="s">
        <v>14</v>
      </c>
      <c r="AA751" s="1" t="str">
        <f t="shared" si="23"/>
        <v>Cap Screw M6</v>
      </c>
      <c r="AF751"/>
    </row>
    <row r="752" spans="1:32" x14ac:dyDescent="0.3">
      <c r="A752" s="10">
        <v>44523</v>
      </c>
      <c r="B752" s="3" t="s">
        <v>158</v>
      </c>
      <c r="C752" s="11" t="s">
        <v>264</v>
      </c>
      <c r="D752" s="12">
        <v>96.3</v>
      </c>
      <c r="E752" s="1">
        <v>12</v>
      </c>
      <c r="F752" s="13">
        <f>InputData[[#This Row],[QUANTITY]]*InputData[[#This Row],[UNIT PRICE (R)]]</f>
        <v>1155.5999999999999</v>
      </c>
      <c r="G752" s="1" t="str">
        <f>VLOOKUP(InputData[[#This Row],[CUSTOMER NAME]],Country[],2,0)</f>
        <v>Russia</v>
      </c>
      <c r="H752" s="1" t="str">
        <f>VLOOKUP(InputData[[#This Row],[CUSTOMER NAME]],Country[],3,0)</f>
        <v>Export</v>
      </c>
      <c r="I752" s="1" t="str">
        <f>TEXT(InputData[[#This Row],[DATE]],"mmmm")</f>
        <v>November</v>
      </c>
      <c r="J752" s="1" t="str">
        <f>TEXT(InputData[[#This Row],[DATE]],"ddd")</f>
        <v>Tue</v>
      </c>
      <c r="K752" s="14">
        <f>WEEKNUM(InputData[[#This Row],[DATE]])</f>
        <v>48</v>
      </c>
      <c r="N752"/>
      <c r="R752" s="3" t="s">
        <v>70</v>
      </c>
      <c r="S752" s="1" t="str">
        <f t="shared" si="22"/>
        <v>Larkspur Retailers</v>
      </c>
      <c r="V752"/>
      <c r="Z752" s="11" t="s">
        <v>17</v>
      </c>
      <c r="AA752" s="1" t="str">
        <f t="shared" si="23"/>
        <v>Cotter Pin 3mm</v>
      </c>
      <c r="AF752"/>
    </row>
    <row r="753" spans="1:32" x14ac:dyDescent="0.3">
      <c r="A753" s="10">
        <v>44525</v>
      </c>
      <c r="B753" s="3" t="s">
        <v>155</v>
      </c>
      <c r="C753" s="11" t="s">
        <v>232</v>
      </c>
      <c r="D753" s="12">
        <v>48.84</v>
      </c>
      <c r="E753" s="1">
        <v>5</v>
      </c>
      <c r="F753" s="13">
        <f>InputData[[#This Row],[QUANTITY]]*InputData[[#This Row],[UNIT PRICE (R)]]</f>
        <v>244.20000000000002</v>
      </c>
      <c r="G753" s="1" t="str">
        <f>VLOOKUP(InputData[[#This Row],[CUSTOMER NAME]],Country[],2,0)</f>
        <v>Brazil</v>
      </c>
      <c r="H753" s="1" t="str">
        <f>VLOOKUP(InputData[[#This Row],[CUSTOMER NAME]],Country[],3,0)</f>
        <v>Export</v>
      </c>
      <c r="I753" s="1" t="str">
        <f>TEXT(InputData[[#This Row],[DATE]],"mmmm")</f>
        <v>November</v>
      </c>
      <c r="J753" s="1" t="str">
        <f>TEXT(InputData[[#This Row],[DATE]],"ddd")</f>
        <v>Thu</v>
      </c>
      <c r="K753" s="14">
        <f>WEEKNUM(InputData[[#This Row],[DATE]])</f>
        <v>48</v>
      </c>
      <c r="N753"/>
      <c r="R753" s="3" t="s">
        <v>63</v>
      </c>
      <c r="S753" s="1" t="str">
        <f t="shared" si="22"/>
        <v>Ovenden &amp; Sons</v>
      </c>
      <c r="V753"/>
      <c r="Z753" s="11" t="s">
        <v>36</v>
      </c>
      <c r="AA753" s="1" t="str">
        <f t="shared" si="23"/>
        <v>Mending Plate 100mm</v>
      </c>
      <c r="AF753"/>
    </row>
    <row r="754" spans="1:32" x14ac:dyDescent="0.3">
      <c r="A754" s="10">
        <v>44525</v>
      </c>
      <c r="B754" s="3" t="s">
        <v>165</v>
      </c>
      <c r="C754" s="11" t="s">
        <v>231</v>
      </c>
      <c r="D754" s="12">
        <v>80.94</v>
      </c>
      <c r="E754" s="1">
        <v>10</v>
      </c>
      <c r="F754" s="13">
        <f>InputData[[#This Row],[QUANTITY]]*InputData[[#This Row],[UNIT PRICE (R)]]</f>
        <v>809.4</v>
      </c>
      <c r="G754" s="1" t="str">
        <f>VLOOKUP(InputData[[#This Row],[CUSTOMER NAME]],Country[],2,0)</f>
        <v>India</v>
      </c>
      <c r="H754" s="1" t="str">
        <f>VLOOKUP(InputData[[#This Row],[CUSTOMER NAME]],Country[],3,0)</f>
        <v>Western</v>
      </c>
      <c r="I754" s="1" t="str">
        <f>TEXT(InputData[[#This Row],[DATE]],"mmmm")</f>
        <v>November</v>
      </c>
      <c r="J754" s="1" t="str">
        <f>TEXT(InputData[[#This Row],[DATE]],"ddd")</f>
        <v>Thu</v>
      </c>
      <c r="K754" s="14">
        <f>WEEKNUM(InputData[[#This Row],[DATE]])</f>
        <v>48</v>
      </c>
      <c r="N754"/>
      <c r="R754" s="3" t="s">
        <v>60</v>
      </c>
      <c r="S754" s="1" t="str">
        <f t="shared" si="22"/>
        <v>Union Cross Supply Co.</v>
      </c>
      <c r="V754"/>
      <c r="Z754" s="11" t="s">
        <v>4</v>
      </c>
      <c r="AA754" s="1" t="str">
        <f t="shared" si="23"/>
        <v>Carriage Bolt M8</v>
      </c>
      <c r="AF754"/>
    </row>
    <row r="755" spans="1:32" x14ac:dyDescent="0.3">
      <c r="A755" s="10">
        <v>44525</v>
      </c>
      <c r="B755" s="3" t="s">
        <v>165</v>
      </c>
      <c r="C755" s="11" t="s">
        <v>244</v>
      </c>
      <c r="D755" s="12">
        <v>16.64</v>
      </c>
      <c r="E755" s="1">
        <v>14</v>
      </c>
      <c r="F755" s="13">
        <f>InputData[[#This Row],[QUANTITY]]*InputData[[#This Row],[UNIT PRICE (R)]]</f>
        <v>232.96</v>
      </c>
      <c r="G755" s="1" t="str">
        <f>VLOOKUP(InputData[[#This Row],[CUSTOMER NAME]],Country[],2,0)</f>
        <v>India</v>
      </c>
      <c r="H755" s="1" t="str">
        <f>VLOOKUP(InputData[[#This Row],[CUSTOMER NAME]],Country[],3,0)</f>
        <v>Western</v>
      </c>
      <c r="I755" s="1" t="str">
        <f>TEXT(InputData[[#This Row],[DATE]],"mmmm")</f>
        <v>November</v>
      </c>
      <c r="J755" s="1" t="str">
        <f>TEXT(InputData[[#This Row],[DATE]],"ddd")</f>
        <v>Thu</v>
      </c>
      <c r="K755" s="14">
        <f>WEEKNUM(InputData[[#This Row],[DATE]])</f>
        <v>48</v>
      </c>
      <c r="N755"/>
      <c r="R755" s="3" t="s">
        <v>70</v>
      </c>
      <c r="S755" s="1" t="str">
        <f t="shared" si="22"/>
        <v>Larkspur Retailers</v>
      </c>
      <c r="V755"/>
      <c r="Z755" s="11" t="s">
        <v>3</v>
      </c>
      <c r="AA755" s="1" t="str">
        <f t="shared" si="23"/>
        <v>Hex Bolt M12</v>
      </c>
      <c r="AF755"/>
    </row>
    <row r="756" spans="1:32" x14ac:dyDescent="0.3">
      <c r="A756" s="10">
        <v>44526</v>
      </c>
      <c r="B756" s="3" t="s">
        <v>158</v>
      </c>
      <c r="C756" s="11" t="s">
        <v>237</v>
      </c>
      <c r="D756" s="12">
        <v>7.8599999999999994</v>
      </c>
      <c r="E756" s="1">
        <v>25</v>
      </c>
      <c r="F756" s="13">
        <f>InputData[[#This Row],[QUANTITY]]*InputData[[#This Row],[UNIT PRICE (R)]]</f>
        <v>196.5</v>
      </c>
      <c r="G756" s="1" t="str">
        <f>VLOOKUP(InputData[[#This Row],[CUSTOMER NAME]],Country[],2,0)</f>
        <v>Russia</v>
      </c>
      <c r="H756" s="1" t="str">
        <f>VLOOKUP(InputData[[#This Row],[CUSTOMER NAME]],Country[],3,0)</f>
        <v>Export</v>
      </c>
      <c r="I756" s="1" t="str">
        <f>TEXT(InputData[[#This Row],[DATE]],"mmmm")</f>
        <v>November</v>
      </c>
      <c r="J756" s="1" t="str">
        <f>TEXT(InputData[[#This Row],[DATE]],"ddd")</f>
        <v>Fri</v>
      </c>
      <c r="K756" s="14">
        <f>WEEKNUM(InputData[[#This Row],[DATE]])</f>
        <v>48</v>
      </c>
      <c r="N756"/>
      <c r="R756" s="3" t="s">
        <v>70</v>
      </c>
      <c r="S756" s="1" t="str">
        <f t="shared" si="22"/>
        <v>Larkspur Retailers</v>
      </c>
      <c r="V756"/>
      <c r="Z756" s="11" t="s">
        <v>16</v>
      </c>
      <c r="AA756" s="1" t="str">
        <f t="shared" si="23"/>
        <v>Blind Rivet 6mm</v>
      </c>
      <c r="AF756"/>
    </row>
    <row r="757" spans="1:32" x14ac:dyDescent="0.3">
      <c r="A757" s="10">
        <v>44526</v>
      </c>
      <c r="B757" s="3" t="s">
        <v>163</v>
      </c>
      <c r="C757" s="11" t="s">
        <v>260</v>
      </c>
      <c r="D757" s="12">
        <v>117.48</v>
      </c>
      <c r="E757" s="1">
        <v>5</v>
      </c>
      <c r="F757" s="13">
        <f>InputData[[#This Row],[QUANTITY]]*InputData[[#This Row],[UNIT PRICE (R)]]</f>
        <v>587.4</v>
      </c>
      <c r="G757" s="1" t="str">
        <f>VLOOKUP(InputData[[#This Row],[CUSTOMER NAME]],Country[],2,0)</f>
        <v>South Africa</v>
      </c>
      <c r="H757" s="1" t="str">
        <f>VLOOKUP(InputData[[#This Row],[CUSTOMER NAME]],Country[],3,0)</f>
        <v>Export</v>
      </c>
      <c r="I757" s="1" t="str">
        <f>TEXT(InputData[[#This Row],[DATE]],"mmmm")</f>
        <v>November</v>
      </c>
      <c r="J757" s="1" t="str">
        <f>TEXT(InputData[[#This Row],[DATE]],"ddd")</f>
        <v>Fri</v>
      </c>
      <c r="K757" s="14">
        <f>WEEKNUM(InputData[[#This Row],[DATE]])</f>
        <v>48</v>
      </c>
      <c r="N757"/>
      <c r="R757" s="3" t="s">
        <v>63</v>
      </c>
      <c r="S757" s="1" t="str">
        <f t="shared" si="22"/>
        <v>Ovenden &amp; Sons</v>
      </c>
      <c r="V757"/>
      <c r="Z757" s="11" t="s">
        <v>9</v>
      </c>
      <c r="AA757" s="1" t="str">
        <f t="shared" si="23"/>
        <v>Threaded Rod M12</v>
      </c>
      <c r="AF757"/>
    </row>
    <row r="758" spans="1:32" x14ac:dyDescent="0.3">
      <c r="A758" s="10">
        <v>44527</v>
      </c>
      <c r="B758" s="3" t="s">
        <v>177</v>
      </c>
      <c r="C758" s="11" t="s">
        <v>240</v>
      </c>
      <c r="D758" s="12">
        <v>94.17</v>
      </c>
      <c r="E758" s="1">
        <v>8</v>
      </c>
      <c r="F758" s="13">
        <f>InputData[[#This Row],[QUANTITY]]*InputData[[#This Row],[UNIT PRICE (R)]]</f>
        <v>753.36</v>
      </c>
      <c r="G758" s="1" t="str">
        <f>VLOOKUP(InputData[[#This Row],[CUSTOMER NAME]],Country[],2,0)</f>
        <v>India</v>
      </c>
      <c r="H758" s="1" t="str">
        <f>VLOOKUP(InputData[[#This Row],[CUSTOMER NAME]],Country[],3,0)</f>
        <v>North</v>
      </c>
      <c r="I758" s="1" t="str">
        <f>TEXT(InputData[[#This Row],[DATE]],"mmmm")</f>
        <v>November</v>
      </c>
      <c r="J758" s="1" t="str">
        <f>TEXT(InputData[[#This Row],[DATE]],"ddd")</f>
        <v>Sat</v>
      </c>
      <c r="K758" s="14">
        <f>WEEKNUM(InputData[[#This Row],[DATE]])</f>
        <v>48</v>
      </c>
      <c r="N758"/>
      <c r="R758" s="3" t="s">
        <v>68</v>
      </c>
      <c r="S758" s="1" t="str">
        <f t="shared" si="22"/>
        <v>Delacroix Wholesale</v>
      </c>
      <c r="V758"/>
      <c r="Z758" s="11" t="s">
        <v>32</v>
      </c>
      <c r="AA758" s="1" t="str">
        <f t="shared" si="23"/>
        <v>Corner Bracket 50mm</v>
      </c>
      <c r="AF758"/>
    </row>
    <row r="759" spans="1:32" x14ac:dyDescent="0.3">
      <c r="A759" s="10">
        <v>44527</v>
      </c>
      <c r="B759" s="3" t="s">
        <v>177</v>
      </c>
      <c r="C759" s="11" t="s">
        <v>262</v>
      </c>
      <c r="D759" s="12">
        <v>58.3</v>
      </c>
      <c r="E759" s="1">
        <v>15</v>
      </c>
      <c r="F759" s="13">
        <f>InputData[[#This Row],[QUANTITY]]*InputData[[#This Row],[UNIT PRICE (R)]]</f>
        <v>874.5</v>
      </c>
      <c r="G759" s="1" t="str">
        <f>VLOOKUP(InputData[[#This Row],[CUSTOMER NAME]],Country[],2,0)</f>
        <v>India</v>
      </c>
      <c r="H759" s="1" t="str">
        <f>VLOOKUP(InputData[[#This Row],[CUSTOMER NAME]],Country[],3,0)</f>
        <v>North</v>
      </c>
      <c r="I759" s="1" t="str">
        <f>TEXT(InputData[[#This Row],[DATE]],"mmmm")</f>
        <v>November</v>
      </c>
      <c r="J759" s="1" t="str">
        <f>TEXT(InputData[[#This Row],[DATE]],"ddd")</f>
        <v>Sat</v>
      </c>
      <c r="K759" s="14">
        <f>WEEKNUM(InputData[[#This Row],[DATE]])</f>
        <v>48</v>
      </c>
      <c r="N759"/>
      <c r="R759" s="3" t="s">
        <v>99</v>
      </c>
      <c r="S759" s="1" t="str">
        <f t="shared" si="22"/>
        <v>Northfield Traders</v>
      </c>
      <c r="V759"/>
      <c r="Z759" s="11" t="s">
        <v>12</v>
      </c>
      <c r="AA759" s="1" t="str">
        <f t="shared" si="23"/>
        <v>Drywall Screw 30mm</v>
      </c>
      <c r="AF759"/>
    </row>
    <row r="760" spans="1:32" x14ac:dyDescent="0.3">
      <c r="A760" s="10">
        <v>44527</v>
      </c>
      <c r="B760" s="3" t="s">
        <v>157</v>
      </c>
      <c r="C760" s="11" t="s">
        <v>261</v>
      </c>
      <c r="D760" s="12">
        <v>119.7</v>
      </c>
      <c r="E760" s="1">
        <v>28</v>
      </c>
      <c r="F760" s="13">
        <f>InputData[[#This Row],[QUANTITY]]*InputData[[#This Row],[UNIT PRICE (R)]]</f>
        <v>3351.6</v>
      </c>
      <c r="G760" s="1" t="str">
        <f>VLOOKUP(InputData[[#This Row],[CUSTOMER NAME]],Country[],2,0)</f>
        <v>Brazil</v>
      </c>
      <c r="H760" s="1" t="str">
        <f>VLOOKUP(InputData[[#This Row],[CUSTOMER NAME]],Country[],3,0)</f>
        <v>Export</v>
      </c>
      <c r="I760" s="1" t="str">
        <f>TEXT(InputData[[#This Row],[DATE]],"mmmm")</f>
        <v>November</v>
      </c>
      <c r="J760" s="1" t="str">
        <f>TEXT(InputData[[#This Row],[DATE]],"ddd")</f>
        <v>Sat</v>
      </c>
      <c r="K760" s="14">
        <f>WEEKNUM(InputData[[#This Row],[DATE]])</f>
        <v>48</v>
      </c>
      <c r="N760"/>
      <c r="R760" s="3" t="s">
        <v>99</v>
      </c>
      <c r="S760" s="1" t="str">
        <f t="shared" si="22"/>
        <v>Northfield Traders</v>
      </c>
      <c r="V760"/>
      <c r="Z760" s="11" t="s">
        <v>34</v>
      </c>
      <c r="AA760" s="1" t="str">
        <f t="shared" si="23"/>
        <v>L-Bracket 75mm</v>
      </c>
      <c r="AF760"/>
    </row>
    <row r="761" spans="1:32" x14ac:dyDescent="0.3">
      <c r="A761" s="10">
        <v>44527</v>
      </c>
      <c r="B761" s="3" t="s">
        <v>158</v>
      </c>
      <c r="C761" s="11" t="s">
        <v>263</v>
      </c>
      <c r="D761" s="12">
        <v>6.7</v>
      </c>
      <c r="E761" s="1">
        <v>28</v>
      </c>
      <c r="F761" s="13">
        <f>InputData[[#This Row],[QUANTITY]]*InputData[[#This Row],[UNIT PRICE (R)]]</f>
        <v>187.6</v>
      </c>
      <c r="G761" s="1" t="str">
        <f>VLOOKUP(InputData[[#This Row],[CUSTOMER NAME]],Country[],2,0)</f>
        <v>Russia</v>
      </c>
      <c r="H761" s="1" t="str">
        <f>VLOOKUP(InputData[[#This Row],[CUSTOMER NAME]],Country[],3,0)</f>
        <v>Export</v>
      </c>
      <c r="I761" s="1" t="str">
        <f>TEXT(InputData[[#This Row],[DATE]],"mmmm")</f>
        <v>November</v>
      </c>
      <c r="J761" s="1" t="str">
        <f>TEXT(InputData[[#This Row],[DATE]],"ddd")</f>
        <v>Sat</v>
      </c>
      <c r="K761" s="14">
        <f>WEEKNUM(InputData[[#This Row],[DATE]])</f>
        <v>48</v>
      </c>
      <c r="N761"/>
      <c r="R761" s="3" t="s">
        <v>62</v>
      </c>
      <c r="S761" s="1" t="str">
        <f t="shared" si="22"/>
        <v>Marchbank Traders</v>
      </c>
      <c r="V761"/>
      <c r="Z761" s="11" t="s">
        <v>33</v>
      </c>
      <c r="AA761" s="1" t="str">
        <f t="shared" si="23"/>
        <v>Shelf Bracket 200mm</v>
      </c>
      <c r="AF761"/>
    </row>
    <row r="762" spans="1:32" x14ac:dyDescent="0.3">
      <c r="A762" s="10">
        <v>44527</v>
      </c>
      <c r="B762" s="3" t="s">
        <v>161</v>
      </c>
      <c r="C762" s="11" t="s">
        <v>250</v>
      </c>
      <c r="D762" s="12">
        <v>141.57</v>
      </c>
      <c r="E762" s="1">
        <v>37</v>
      </c>
      <c r="F762" s="13">
        <f>InputData[[#This Row],[QUANTITY]]*InputData[[#This Row],[UNIT PRICE (R)]]</f>
        <v>5238.09</v>
      </c>
      <c r="G762" s="1" t="str">
        <f>VLOOKUP(InputData[[#This Row],[CUSTOMER NAME]],Country[],2,0)</f>
        <v>India</v>
      </c>
      <c r="H762" s="1" t="str">
        <f>VLOOKUP(InputData[[#This Row],[CUSTOMER NAME]],Country[],3,0)</f>
        <v>Central</v>
      </c>
      <c r="I762" s="1" t="str">
        <f>TEXT(InputData[[#This Row],[DATE]],"mmmm")</f>
        <v>November</v>
      </c>
      <c r="J762" s="1" t="str">
        <f>TEXT(InputData[[#This Row],[DATE]],"ddd")</f>
        <v>Sat</v>
      </c>
      <c r="K762" s="14">
        <f>WEEKNUM(InputData[[#This Row],[DATE]])</f>
        <v>48</v>
      </c>
      <c r="N762"/>
      <c r="R762" s="3" t="s">
        <v>63</v>
      </c>
      <c r="S762" s="1" t="str">
        <f t="shared" si="22"/>
        <v>Ovenden &amp; Sons</v>
      </c>
      <c r="V762"/>
      <c r="Z762" s="11" t="s">
        <v>35</v>
      </c>
      <c r="AA762" s="1" t="str">
        <f t="shared" si="23"/>
        <v>T-Bracket 100mm</v>
      </c>
      <c r="AF762"/>
    </row>
    <row r="763" spans="1:32" x14ac:dyDescent="0.3">
      <c r="A763" s="10">
        <v>44528</v>
      </c>
      <c r="B763" s="3" t="s">
        <v>147</v>
      </c>
      <c r="C763" s="11" t="s">
        <v>256</v>
      </c>
      <c r="D763" s="12">
        <v>41.81</v>
      </c>
      <c r="E763" s="1">
        <v>9</v>
      </c>
      <c r="F763" s="13">
        <f>InputData[[#This Row],[QUANTITY]]*InputData[[#This Row],[UNIT PRICE (R)]]</f>
        <v>376.29</v>
      </c>
      <c r="G763" s="1" t="str">
        <f>VLOOKUP(InputData[[#This Row],[CUSTOMER NAME]],Country[],2,0)</f>
        <v>India</v>
      </c>
      <c r="H763" s="1" t="str">
        <f>VLOOKUP(InputData[[#This Row],[CUSTOMER NAME]],Country[],3,0)</f>
        <v>Northeast</v>
      </c>
      <c r="I763" s="1" t="str">
        <f>TEXT(InputData[[#This Row],[DATE]],"mmmm")</f>
        <v>November</v>
      </c>
      <c r="J763" s="1" t="str">
        <f>TEXT(InputData[[#This Row],[DATE]],"ddd")</f>
        <v>Sun</v>
      </c>
      <c r="K763" s="14">
        <f>WEEKNUM(InputData[[#This Row],[DATE]])</f>
        <v>49</v>
      </c>
      <c r="N763"/>
      <c r="R763" s="3" t="s">
        <v>66</v>
      </c>
      <c r="S763" s="1" t="str">
        <f t="shared" si="22"/>
        <v>Whitfield Distributors</v>
      </c>
      <c r="V763"/>
      <c r="Z763" s="11" t="s">
        <v>22</v>
      </c>
      <c r="AA763" s="1" t="str">
        <f t="shared" si="23"/>
        <v>Hose Clamp 32mm</v>
      </c>
      <c r="AF763"/>
    </row>
    <row r="764" spans="1:32" x14ac:dyDescent="0.3">
      <c r="A764" s="10">
        <v>44528</v>
      </c>
      <c r="B764" s="3" t="s">
        <v>150</v>
      </c>
      <c r="C764" s="11" t="s">
        <v>268</v>
      </c>
      <c r="D764" s="12">
        <v>115.2</v>
      </c>
      <c r="E764" s="1">
        <v>2</v>
      </c>
      <c r="F764" s="13">
        <f>InputData[[#This Row],[QUANTITY]]*InputData[[#This Row],[UNIT PRICE (R)]]</f>
        <v>230.4</v>
      </c>
      <c r="G764" s="1" t="str">
        <f>VLOOKUP(InputData[[#This Row],[CUSTOMER NAME]],Country[],2,0)</f>
        <v>United Kingdom</v>
      </c>
      <c r="H764" s="1" t="str">
        <f>VLOOKUP(InputData[[#This Row],[CUSTOMER NAME]],Country[],3,0)</f>
        <v>Export</v>
      </c>
      <c r="I764" s="1" t="str">
        <f>TEXT(InputData[[#This Row],[DATE]],"mmmm")</f>
        <v>November</v>
      </c>
      <c r="J764" s="1" t="str">
        <f>TEXT(InputData[[#This Row],[DATE]],"ddd")</f>
        <v>Sun</v>
      </c>
      <c r="K764" s="14">
        <f>WEEKNUM(InputData[[#This Row],[DATE]])</f>
        <v>49</v>
      </c>
      <c r="N764"/>
      <c r="R764" s="3" t="s">
        <v>52</v>
      </c>
      <c r="S764" s="1" t="str">
        <f t="shared" si="22"/>
        <v>Harrow Distribution</v>
      </c>
      <c r="V764"/>
      <c r="Z764" s="11" t="s">
        <v>28</v>
      </c>
      <c r="AA764" s="1" t="str">
        <f t="shared" si="23"/>
        <v>Cabinet Hinge 75mm</v>
      </c>
      <c r="AF764"/>
    </row>
    <row r="765" spans="1:32" x14ac:dyDescent="0.3">
      <c r="A765" s="10">
        <v>44528</v>
      </c>
      <c r="B765" s="3" t="s">
        <v>156</v>
      </c>
      <c r="C765" s="11" t="s">
        <v>259</v>
      </c>
      <c r="D765" s="12">
        <v>104.16</v>
      </c>
      <c r="E765" s="1">
        <v>8</v>
      </c>
      <c r="F765" s="13">
        <f>InputData[[#This Row],[QUANTITY]]*InputData[[#This Row],[UNIT PRICE (R)]]</f>
        <v>833.28</v>
      </c>
      <c r="G765" s="1" t="str">
        <f>VLOOKUP(InputData[[#This Row],[CUSTOMER NAME]],Country[],2,0)</f>
        <v>India</v>
      </c>
      <c r="H765" s="1" t="str">
        <f>VLOOKUP(InputData[[#This Row],[CUSTOMER NAME]],Country[],3,0)</f>
        <v>East</v>
      </c>
      <c r="I765" s="1" t="str">
        <f>TEXT(InputData[[#This Row],[DATE]],"mmmm")</f>
        <v>November</v>
      </c>
      <c r="J765" s="1" t="str">
        <f>TEXT(InputData[[#This Row],[DATE]],"ddd")</f>
        <v>Sun</v>
      </c>
      <c r="K765" s="14">
        <f>WEEKNUM(InputData[[#This Row],[DATE]])</f>
        <v>49</v>
      </c>
      <c r="N765"/>
      <c r="R765" s="3" t="s">
        <v>55</v>
      </c>
      <c r="S765" s="1" t="str">
        <f t="shared" si="22"/>
        <v>Silverline Wholesalers</v>
      </c>
      <c r="V765"/>
      <c r="Z765" s="11" t="s">
        <v>40</v>
      </c>
      <c r="AA765" s="1" t="str">
        <f t="shared" si="23"/>
        <v>Conduit Clamp 25mm</v>
      </c>
      <c r="AF765"/>
    </row>
    <row r="766" spans="1:32" x14ac:dyDescent="0.3">
      <c r="A766" s="10">
        <v>44530</v>
      </c>
      <c r="B766" s="3" t="s">
        <v>144</v>
      </c>
      <c r="C766" s="11" t="s">
        <v>267</v>
      </c>
      <c r="D766" s="12">
        <v>42.55</v>
      </c>
      <c r="E766" s="1">
        <v>15</v>
      </c>
      <c r="F766" s="13">
        <f>InputData[[#This Row],[QUANTITY]]*InputData[[#This Row],[UNIT PRICE (R)]]</f>
        <v>638.25</v>
      </c>
      <c r="G766" s="1" t="str">
        <f>VLOOKUP(InputData[[#This Row],[CUSTOMER NAME]],Country[],2,0)</f>
        <v>Bangladesh</v>
      </c>
      <c r="H766" s="1" t="str">
        <f>VLOOKUP(InputData[[#This Row],[CUSTOMER NAME]],Country[],3,0)</f>
        <v>Export</v>
      </c>
      <c r="I766" s="1" t="str">
        <f>TEXT(InputData[[#This Row],[DATE]],"mmmm")</f>
        <v>November</v>
      </c>
      <c r="J766" s="1" t="str">
        <f>TEXT(InputData[[#This Row],[DATE]],"ddd")</f>
        <v>Tue</v>
      </c>
      <c r="K766" s="14">
        <f>WEEKNUM(InputData[[#This Row],[DATE]])</f>
        <v>49</v>
      </c>
      <c r="N766"/>
      <c r="R766" s="3" t="s">
        <v>61</v>
      </c>
      <c r="S766" s="1" t="str">
        <f t="shared" si="22"/>
        <v>Fairstone Retail Group</v>
      </c>
      <c r="V766"/>
      <c r="Z766" s="11" t="s">
        <v>31</v>
      </c>
      <c r="AA766" s="1" t="str">
        <f t="shared" si="23"/>
        <v>Gate Bolt 150mm</v>
      </c>
      <c r="AF766"/>
    </row>
    <row r="767" spans="1:32" x14ac:dyDescent="0.3">
      <c r="A767" s="10">
        <v>44530</v>
      </c>
      <c r="B767" s="3" t="s">
        <v>175</v>
      </c>
      <c r="C767" s="11" t="s">
        <v>243</v>
      </c>
      <c r="D767" s="12">
        <v>15.719999999999999</v>
      </c>
      <c r="E767" s="1">
        <v>2</v>
      </c>
      <c r="F767" s="13">
        <f>InputData[[#This Row],[QUANTITY]]*InputData[[#This Row],[UNIT PRICE (R)]]</f>
        <v>31.439999999999998</v>
      </c>
      <c r="G767" s="1" t="str">
        <f>VLOOKUP(InputData[[#This Row],[CUSTOMER NAME]],Country[],2,0)</f>
        <v>India</v>
      </c>
      <c r="H767" s="1" t="str">
        <f>VLOOKUP(InputData[[#This Row],[CUSTOMER NAME]],Country[],3,0)</f>
        <v>Western</v>
      </c>
      <c r="I767" s="1" t="str">
        <f>TEXT(InputData[[#This Row],[DATE]],"mmmm")</f>
        <v>November</v>
      </c>
      <c r="J767" s="1" t="str">
        <f>TEXT(InputData[[#This Row],[DATE]],"ddd")</f>
        <v>Tue</v>
      </c>
      <c r="K767" s="14">
        <f>WEEKNUM(InputData[[#This Row],[DATE]])</f>
        <v>49</v>
      </c>
      <c r="N767"/>
      <c r="R767" s="3" t="s">
        <v>49</v>
      </c>
      <c r="S767" s="1" t="str">
        <f t="shared" si="22"/>
        <v>Baxter &amp; Kline Supplies</v>
      </c>
      <c r="V767"/>
      <c r="Z767" s="11" t="s">
        <v>39</v>
      </c>
      <c r="AA767" s="1" t="str">
        <f t="shared" si="23"/>
        <v>Cable Clip 20mm</v>
      </c>
      <c r="AF767"/>
    </row>
    <row r="768" spans="1:32" x14ac:dyDescent="0.3">
      <c r="A768" s="10">
        <v>44532</v>
      </c>
      <c r="B768" s="3" t="s">
        <v>159</v>
      </c>
      <c r="C768" s="11" t="s">
        <v>244</v>
      </c>
      <c r="D768" s="12">
        <v>16.64</v>
      </c>
      <c r="E768" s="1">
        <v>10</v>
      </c>
      <c r="F768" s="13">
        <f>InputData[[#This Row],[QUANTITY]]*InputData[[#This Row],[UNIT PRICE (R)]]</f>
        <v>166.4</v>
      </c>
      <c r="G768" s="1" t="str">
        <f>VLOOKUP(InputData[[#This Row],[CUSTOMER NAME]],Country[],2,0)</f>
        <v>Saudi Arabia</v>
      </c>
      <c r="H768" s="1" t="str">
        <f>VLOOKUP(InputData[[#This Row],[CUSTOMER NAME]],Country[],3,0)</f>
        <v>Export</v>
      </c>
      <c r="I768" s="1" t="str">
        <f>TEXT(InputData[[#This Row],[DATE]],"mmmm")</f>
        <v>December</v>
      </c>
      <c r="J768" s="1" t="str">
        <f>TEXT(InputData[[#This Row],[DATE]],"ddd")</f>
        <v>Thu</v>
      </c>
      <c r="K768" s="14">
        <f>WEEKNUM(InputData[[#This Row],[DATE]])</f>
        <v>49</v>
      </c>
      <c r="N768"/>
      <c r="R768" s="3" t="s">
        <v>97</v>
      </c>
      <c r="S768" s="1" t="str">
        <f t="shared" si="22"/>
        <v>Stonebridge Commercial</v>
      </c>
      <c r="V768"/>
      <c r="Z768" s="11" t="s">
        <v>15</v>
      </c>
      <c r="AA768" s="1" t="str">
        <f t="shared" si="23"/>
        <v>Rivet 4mm</v>
      </c>
      <c r="AF768"/>
    </row>
    <row r="769" spans="1:32" x14ac:dyDescent="0.3">
      <c r="A769" s="10">
        <v>44533</v>
      </c>
      <c r="B769" s="3" t="s">
        <v>158</v>
      </c>
      <c r="C769" s="11" t="s">
        <v>247</v>
      </c>
      <c r="D769" s="12">
        <v>210</v>
      </c>
      <c r="E769" s="1">
        <v>8</v>
      </c>
      <c r="F769" s="13">
        <f>InputData[[#This Row],[QUANTITY]]*InputData[[#This Row],[UNIT PRICE (R)]]</f>
        <v>1680</v>
      </c>
      <c r="G769" s="1" t="str">
        <f>VLOOKUP(InputData[[#This Row],[CUSTOMER NAME]],Country[],2,0)</f>
        <v>Russia</v>
      </c>
      <c r="H769" s="1" t="str">
        <f>VLOOKUP(InputData[[#This Row],[CUSTOMER NAME]],Country[],3,0)</f>
        <v>Export</v>
      </c>
      <c r="I769" s="1" t="str">
        <f>TEXT(InputData[[#This Row],[DATE]],"mmmm")</f>
        <v>December</v>
      </c>
      <c r="J769" s="1" t="str">
        <f>TEXT(InputData[[#This Row],[DATE]],"ddd")</f>
        <v>Fri</v>
      </c>
      <c r="K769" s="14">
        <f>WEEKNUM(InputData[[#This Row],[DATE]])</f>
        <v>49</v>
      </c>
      <c r="N769"/>
      <c r="R769" s="3" t="s">
        <v>64</v>
      </c>
      <c r="S769" s="1" t="str">
        <f t="shared" si="22"/>
        <v>Ridgeway Commercial</v>
      </c>
      <c r="V769"/>
      <c r="Z769" s="11" t="s">
        <v>16</v>
      </c>
      <c r="AA769" s="1" t="str">
        <f t="shared" si="23"/>
        <v>Blind Rivet 6mm</v>
      </c>
      <c r="AF769"/>
    </row>
    <row r="770" spans="1:32" x14ac:dyDescent="0.3">
      <c r="A770" s="10">
        <v>44533</v>
      </c>
      <c r="B770" s="3" t="s">
        <v>178</v>
      </c>
      <c r="C770" s="11" t="s">
        <v>262</v>
      </c>
      <c r="D770" s="12">
        <v>58.3</v>
      </c>
      <c r="E770" s="1">
        <v>2</v>
      </c>
      <c r="F770" s="13">
        <f>InputData[[#This Row],[QUANTITY]]*InputData[[#This Row],[UNIT PRICE (R)]]</f>
        <v>116.6</v>
      </c>
      <c r="G770" s="1" t="str">
        <f>VLOOKUP(InputData[[#This Row],[CUSTOMER NAME]],Country[],2,0)</f>
        <v>Pakistan</v>
      </c>
      <c r="H770" s="1" t="str">
        <f>VLOOKUP(InputData[[#This Row],[CUSTOMER NAME]],Country[],3,0)</f>
        <v>Export</v>
      </c>
      <c r="I770" s="1" t="str">
        <f>TEXT(InputData[[#This Row],[DATE]],"mmmm")</f>
        <v>December</v>
      </c>
      <c r="J770" s="1" t="str">
        <f>TEXT(InputData[[#This Row],[DATE]],"ddd")</f>
        <v>Fri</v>
      </c>
      <c r="K770" s="14">
        <f>WEEKNUM(InputData[[#This Row],[DATE]])</f>
        <v>49</v>
      </c>
      <c r="N770"/>
      <c r="R770" s="3" t="s">
        <v>63</v>
      </c>
      <c r="S770" s="1" t="str">
        <f t="shared" si="22"/>
        <v>Ovenden &amp; Sons</v>
      </c>
      <c r="V770"/>
      <c r="Z770" s="11" t="s">
        <v>19</v>
      </c>
      <c r="AA770" s="1" t="str">
        <f t="shared" si="23"/>
        <v>Anchor Bolt M10</v>
      </c>
      <c r="AF770"/>
    </row>
    <row r="771" spans="1:32" x14ac:dyDescent="0.3">
      <c r="A771" s="10">
        <v>44533</v>
      </c>
      <c r="B771" s="3" t="s">
        <v>180</v>
      </c>
      <c r="C771" s="11" t="s">
        <v>256</v>
      </c>
      <c r="D771" s="12">
        <v>41.81</v>
      </c>
      <c r="E771" s="1">
        <v>5</v>
      </c>
      <c r="F771" s="13">
        <f>InputData[[#This Row],[QUANTITY]]*InputData[[#This Row],[UNIT PRICE (R)]]</f>
        <v>209.05</v>
      </c>
      <c r="G771" s="1" t="str">
        <f>VLOOKUP(InputData[[#This Row],[CUSTOMER NAME]],Country[],2,0)</f>
        <v>India</v>
      </c>
      <c r="H771" s="1" t="str">
        <f>VLOOKUP(InputData[[#This Row],[CUSTOMER NAME]],Country[],3,0)</f>
        <v>Northeast</v>
      </c>
      <c r="I771" s="1" t="str">
        <f>TEXT(InputData[[#This Row],[DATE]],"mmmm")</f>
        <v>December</v>
      </c>
      <c r="J771" s="1" t="str">
        <f>TEXT(InputData[[#This Row],[DATE]],"ddd")</f>
        <v>Fri</v>
      </c>
      <c r="K771" s="14">
        <f>WEEKNUM(InputData[[#This Row],[DATE]])</f>
        <v>49</v>
      </c>
      <c r="N771"/>
      <c r="R771" s="3" t="s">
        <v>100</v>
      </c>
      <c r="S771" s="1" t="str">
        <f t="shared" si="22"/>
        <v>Pemberton &amp; Associates</v>
      </c>
      <c r="V771"/>
      <c r="Z771" s="11" t="s">
        <v>34</v>
      </c>
      <c r="AA771" s="1" t="str">
        <f t="shared" si="23"/>
        <v>L-Bracket 75mm</v>
      </c>
      <c r="AF771"/>
    </row>
    <row r="772" spans="1:32" x14ac:dyDescent="0.3">
      <c r="A772" s="10">
        <v>44534</v>
      </c>
      <c r="B772" s="3" t="s">
        <v>173</v>
      </c>
      <c r="C772" s="11" t="s">
        <v>232</v>
      </c>
      <c r="D772" s="12">
        <v>48.84</v>
      </c>
      <c r="E772" s="1">
        <v>32</v>
      </c>
      <c r="F772" s="13">
        <f>InputData[[#This Row],[QUANTITY]]*InputData[[#This Row],[UNIT PRICE (R)]]</f>
        <v>1562.88</v>
      </c>
      <c r="G772" s="1" t="str">
        <f>VLOOKUP(InputData[[#This Row],[CUSTOMER NAME]],Country[],2,0)</f>
        <v>India</v>
      </c>
      <c r="H772" s="1" t="str">
        <f>VLOOKUP(InputData[[#This Row],[CUSTOMER NAME]],Country[],3,0)</f>
        <v>North</v>
      </c>
      <c r="I772" s="1" t="str">
        <f>TEXT(InputData[[#This Row],[DATE]],"mmmm")</f>
        <v>December</v>
      </c>
      <c r="J772" s="1" t="str">
        <f>TEXT(InputData[[#This Row],[DATE]],"ddd")</f>
        <v>Sat</v>
      </c>
      <c r="K772" s="14">
        <f>WEEKNUM(InputData[[#This Row],[DATE]])</f>
        <v>49</v>
      </c>
      <c r="N772"/>
      <c r="R772" s="3" t="s">
        <v>102</v>
      </c>
      <c r="S772" s="1" t="str">
        <f t="shared" si="22"/>
        <v>Kingsmead Distribution</v>
      </c>
      <c r="V772"/>
      <c r="Z772" s="11" t="s">
        <v>28</v>
      </c>
      <c r="AA772" s="1" t="str">
        <f t="shared" si="23"/>
        <v>Cabinet Hinge 75mm</v>
      </c>
      <c r="AF772"/>
    </row>
    <row r="773" spans="1:32" x14ac:dyDescent="0.3">
      <c r="A773" s="10">
        <v>44534</v>
      </c>
      <c r="B773" s="3" t="s">
        <v>144</v>
      </c>
      <c r="C773" s="11" t="s">
        <v>272</v>
      </c>
      <c r="D773" s="12">
        <v>82.08</v>
      </c>
      <c r="E773" s="1">
        <v>15</v>
      </c>
      <c r="F773" s="13">
        <f>InputData[[#This Row],[QUANTITY]]*InputData[[#This Row],[UNIT PRICE (R)]]</f>
        <v>1231.2</v>
      </c>
      <c r="G773" s="1" t="str">
        <f>VLOOKUP(InputData[[#This Row],[CUSTOMER NAME]],Country[],2,0)</f>
        <v>Bangladesh</v>
      </c>
      <c r="H773" s="1" t="str">
        <f>VLOOKUP(InputData[[#This Row],[CUSTOMER NAME]],Country[],3,0)</f>
        <v>Export</v>
      </c>
      <c r="I773" s="1" t="str">
        <f>TEXT(InputData[[#This Row],[DATE]],"mmmm")</f>
        <v>December</v>
      </c>
      <c r="J773" s="1" t="str">
        <f>TEXT(InputData[[#This Row],[DATE]],"ddd")</f>
        <v>Sat</v>
      </c>
      <c r="K773" s="14">
        <f>WEEKNUM(InputData[[#This Row],[DATE]])</f>
        <v>49</v>
      </c>
      <c r="N773"/>
      <c r="R773" s="3" t="s">
        <v>95</v>
      </c>
      <c r="S773" s="1" t="str">
        <f t="shared" si="22"/>
        <v>Cobalt Point Supplies</v>
      </c>
      <c r="V773"/>
      <c r="Z773" s="11" t="s">
        <v>4</v>
      </c>
      <c r="AA773" s="1" t="str">
        <f t="shared" si="23"/>
        <v>Carriage Bolt M8</v>
      </c>
      <c r="AF773"/>
    </row>
    <row r="774" spans="1:32" x14ac:dyDescent="0.3">
      <c r="A774" s="10">
        <v>44534</v>
      </c>
      <c r="B774" s="3" t="s">
        <v>153</v>
      </c>
      <c r="C774" s="11" t="s">
        <v>254</v>
      </c>
      <c r="D774" s="12">
        <v>24.66</v>
      </c>
      <c r="E774" s="1">
        <v>10</v>
      </c>
      <c r="F774" s="13">
        <f>InputData[[#This Row],[QUANTITY]]*InputData[[#This Row],[UNIT PRICE (R)]]</f>
        <v>246.6</v>
      </c>
      <c r="G774" s="1" t="str">
        <f>VLOOKUP(InputData[[#This Row],[CUSTOMER NAME]],Country[],2,0)</f>
        <v>Mexico</v>
      </c>
      <c r="H774" s="1" t="str">
        <f>VLOOKUP(InputData[[#This Row],[CUSTOMER NAME]],Country[],3,0)</f>
        <v>Export</v>
      </c>
      <c r="I774" s="1" t="str">
        <f>TEXT(InputData[[#This Row],[DATE]],"mmmm")</f>
        <v>December</v>
      </c>
      <c r="J774" s="1" t="str">
        <f>TEXT(InputData[[#This Row],[DATE]],"ddd")</f>
        <v>Sat</v>
      </c>
      <c r="K774" s="14">
        <f>WEEKNUM(InputData[[#This Row],[DATE]])</f>
        <v>49</v>
      </c>
      <c r="N774"/>
      <c r="R774" s="3" t="s">
        <v>49</v>
      </c>
      <c r="S774" s="1" t="str">
        <f t="shared" si="22"/>
        <v>Baxter &amp; Kline Supplies</v>
      </c>
      <c r="V774"/>
      <c r="Z774" s="11" t="s">
        <v>44</v>
      </c>
      <c r="AA774" s="1" t="str">
        <f t="shared" si="23"/>
        <v>Brass Elbow Joint 20mm</v>
      </c>
      <c r="AF774"/>
    </row>
    <row r="775" spans="1:32" x14ac:dyDescent="0.3">
      <c r="A775" s="10">
        <v>44535</v>
      </c>
      <c r="B775" s="3" t="s">
        <v>153</v>
      </c>
      <c r="C775" s="11" t="s">
        <v>253</v>
      </c>
      <c r="D775" s="12">
        <v>8.33</v>
      </c>
      <c r="E775" s="1">
        <v>12</v>
      </c>
      <c r="F775" s="13">
        <f>InputData[[#This Row],[QUANTITY]]*InputData[[#This Row],[UNIT PRICE (R)]]</f>
        <v>99.960000000000008</v>
      </c>
      <c r="G775" s="1" t="str">
        <f>VLOOKUP(InputData[[#This Row],[CUSTOMER NAME]],Country[],2,0)</f>
        <v>Mexico</v>
      </c>
      <c r="H775" s="1" t="str">
        <f>VLOOKUP(InputData[[#This Row],[CUSTOMER NAME]],Country[],3,0)</f>
        <v>Export</v>
      </c>
      <c r="I775" s="1" t="str">
        <f>TEXT(InputData[[#This Row],[DATE]],"mmmm")</f>
        <v>December</v>
      </c>
      <c r="J775" s="1" t="str">
        <f>TEXT(InputData[[#This Row],[DATE]],"ddd")</f>
        <v>Sun</v>
      </c>
      <c r="K775" s="14">
        <f>WEEKNUM(InputData[[#This Row],[DATE]])</f>
        <v>50</v>
      </c>
      <c r="N775"/>
      <c r="R775" s="3" t="s">
        <v>58</v>
      </c>
      <c r="S775" s="1" t="str">
        <f t="shared" ref="S775:S837" si="24">_xlfn.XLOOKUP(R775,$N$5:$N$64,$O$5:$O$64,"Not Found")</f>
        <v>Redwood Mercantile</v>
      </c>
      <c r="V775"/>
      <c r="Z775" s="11" t="s">
        <v>26</v>
      </c>
      <c r="AA775" s="1" t="str">
        <f t="shared" ref="AA775:AA837" si="25">_xlfn.XLOOKUP(Z775,$V$5:$V$48,$W$5:$W$48,"Not Found",0)</f>
        <v>Chain Link 6mm</v>
      </c>
      <c r="AF775"/>
    </row>
    <row r="776" spans="1:32" x14ac:dyDescent="0.3">
      <c r="A776" s="10">
        <v>44535</v>
      </c>
      <c r="B776" s="3" t="s">
        <v>160</v>
      </c>
      <c r="C776" s="11" t="s">
        <v>232</v>
      </c>
      <c r="D776" s="12">
        <v>48.84</v>
      </c>
      <c r="E776" s="1">
        <v>15</v>
      </c>
      <c r="F776" s="13">
        <f>InputData[[#This Row],[QUANTITY]]*InputData[[#This Row],[UNIT PRICE (R)]]</f>
        <v>732.6</v>
      </c>
      <c r="G776" s="1" t="str">
        <f>VLOOKUP(InputData[[#This Row],[CUSTOMER NAME]],Country[],2,0)</f>
        <v>India</v>
      </c>
      <c r="H776" s="1" t="str">
        <f>VLOOKUP(InputData[[#This Row],[CUSTOMER NAME]],Country[],3,0)</f>
        <v>Western</v>
      </c>
      <c r="I776" s="1" t="str">
        <f>TEXT(InputData[[#This Row],[DATE]],"mmmm")</f>
        <v>December</v>
      </c>
      <c r="J776" s="1" t="str">
        <f>TEXT(InputData[[#This Row],[DATE]],"ddd")</f>
        <v>Sun</v>
      </c>
      <c r="K776" s="14">
        <f>WEEKNUM(InputData[[#This Row],[DATE]])</f>
        <v>50</v>
      </c>
      <c r="N776"/>
      <c r="R776" s="3" t="s">
        <v>58</v>
      </c>
      <c r="S776" s="1" t="str">
        <f t="shared" si="24"/>
        <v>Redwood Mercantile</v>
      </c>
      <c r="V776"/>
      <c r="Z776" s="11" t="s">
        <v>25</v>
      </c>
      <c r="AA776" s="1" t="str">
        <f t="shared" si="25"/>
        <v>Turnbuckle M8</v>
      </c>
      <c r="AF776"/>
    </row>
    <row r="777" spans="1:32" x14ac:dyDescent="0.3">
      <c r="A777" s="10">
        <v>44535</v>
      </c>
      <c r="B777" s="3" t="s">
        <v>161</v>
      </c>
      <c r="C777" s="11" t="s">
        <v>238</v>
      </c>
      <c r="D777" s="12">
        <v>164.28</v>
      </c>
      <c r="E777" s="1">
        <v>1</v>
      </c>
      <c r="F777" s="13">
        <f>InputData[[#This Row],[QUANTITY]]*InputData[[#This Row],[UNIT PRICE (R)]]</f>
        <v>164.28</v>
      </c>
      <c r="G777" s="1" t="str">
        <f>VLOOKUP(InputData[[#This Row],[CUSTOMER NAME]],Country[],2,0)</f>
        <v>India</v>
      </c>
      <c r="H777" s="1" t="str">
        <f>VLOOKUP(InputData[[#This Row],[CUSTOMER NAME]],Country[],3,0)</f>
        <v>Central</v>
      </c>
      <c r="I777" s="1" t="str">
        <f>TEXT(InputData[[#This Row],[DATE]],"mmmm")</f>
        <v>December</v>
      </c>
      <c r="J777" s="1" t="str">
        <f>TEXT(InputData[[#This Row],[DATE]],"ddd")</f>
        <v>Sun</v>
      </c>
      <c r="K777" s="14">
        <f>WEEKNUM(InputData[[#This Row],[DATE]])</f>
        <v>50</v>
      </c>
      <c r="N777"/>
      <c r="R777" s="3" t="s">
        <v>65</v>
      </c>
      <c r="S777" s="1" t="str">
        <f t="shared" si="24"/>
        <v>Talbot Street Merchants</v>
      </c>
      <c r="V777"/>
      <c r="Z777" s="11" t="s">
        <v>4</v>
      </c>
      <c r="AA777" s="1" t="str">
        <f t="shared" si="25"/>
        <v>Carriage Bolt M8</v>
      </c>
      <c r="AF777"/>
    </row>
    <row r="778" spans="1:32" x14ac:dyDescent="0.3">
      <c r="A778" s="10">
        <v>44537</v>
      </c>
      <c r="B778" s="3" t="s">
        <v>149</v>
      </c>
      <c r="C778" s="11" t="s">
        <v>266</v>
      </c>
      <c r="D778" s="12">
        <v>79.92</v>
      </c>
      <c r="E778" s="1">
        <v>5</v>
      </c>
      <c r="F778" s="13">
        <f>InputData[[#This Row],[QUANTITY]]*InputData[[#This Row],[UNIT PRICE (R)]]</f>
        <v>399.6</v>
      </c>
      <c r="G778" s="1" t="str">
        <f>VLOOKUP(InputData[[#This Row],[CUSTOMER NAME]],Country[],2,0)</f>
        <v>Indonesia</v>
      </c>
      <c r="H778" s="1" t="str">
        <f>VLOOKUP(InputData[[#This Row],[CUSTOMER NAME]],Country[],3,0)</f>
        <v>Export</v>
      </c>
      <c r="I778" s="1" t="str">
        <f>TEXT(InputData[[#This Row],[DATE]],"mmmm")</f>
        <v>December</v>
      </c>
      <c r="J778" s="1" t="str">
        <f>TEXT(InputData[[#This Row],[DATE]],"ddd")</f>
        <v>Tue</v>
      </c>
      <c r="K778" s="14">
        <f>WEEKNUM(InputData[[#This Row],[DATE]])</f>
        <v>50</v>
      </c>
      <c r="N778"/>
      <c r="R778" s="3" t="s">
        <v>66</v>
      </c>
      <c r="S778" s="1" t="str">
        <f t="shared" si="24"/>
        <v>Whitfield Distributors</v>
      </c>
      <c r="V778"/>
      <c r="Z778" s="11" t="s">
        <v>10</v>
      </c>
      <c r="AA778" s="1" t="str">
        <f t="shared" si="25"/>
        <v>Self-Tapping Screw 25mm</v>
      </c>
      <c r="AF778"/>
    </row>
    <row r="779" spans="1:32" x14ac:dyDescent="0.3">
      <c r="A779" s="10">
        <v>44537</v>
      </c>
      <c r="B779" s="3" t="s">
        <v>156</v>
      </c>
      <c r="C779" s="11" t="s">
        <v>244</v>
      </c>
      <c r="D779" s="12">
        <v>16.64</v>
      </c>
      <c r="E779" s="1">
        <v>13</v>
      </c>
      <c r="F779" s="13">
        <f>InputData[[#This Row],[QUANTITY]]*InputData[[#This Row],[UNIT PRICE (R)]]</f>
        <v>216.32</v>
      </c>
      <c r="G779" s="1" t="str">
        <f>VLOOKUP(InputData[[#This Row],[CUSTOMER NAME]],Country[],2,0)</f>
        <v>India</v>
      </c>
      <c r="H779" s="1" t="str">
        <f>VLOOKUP(InputData[[#This Row],[CUSTOMER NAME]],Country[],3,0)</f>
        <v>East</v>
      </c>
      <c r="I779" s="1" t="str">
        <f>TEXT(InputData[[#This Row],[DATE]],"mmmm")</f>
        <v>December</v>
      </c>
      <c r="J779" s="1" t="str">
        <f>TEXT(InputData[[#This Row],[DATE]],"ddd")</f>
        <v>Tue</v>
      </c>
      <c r="K779" s="14">
        <f>WEEKNUM(InputData[[#This Row],[DATE]])</f>
        <v>50</v>
      </c>
      <c r="N779"/>
      <c r="R779" s="3" t="s">
        <v>54</v>
      </c>
      <c r="S779" s="1" t="str">
        <f t="shared" si="24"/>
        <v>Kestrel Logistics</v>
      </c>
      <c r="V779"/>
      <c r="Z779" s="11" t="s">
        <v>38</v>
      </c>
      <c r="AA779" s="1" t="str">
        <f t="shared" si="25"/>
        <v>Cable Tie 300mm</v>
      </c>
      <c r="AF779"/>
    </row>
    <row r="780" spans="1:32" x14ac:dyDescent="0.3">
      <c r="A780" s="10">
        <v>44537</v>
      </c>
      <c r="B780" s="3" t="s">
        <v>167</v>
      </c>
      <c r="C780" s="11" t="s">
        <v>266</v>
      </c>
      <c r="D780" s="12">
        <v>79.92</v>
      </c>
      <c r="E780" s="1">
        <v>12</v>
      </c>
      <c r="F780" s="13">
        <f>InputData[[#This Row],[QUANTITY]]*InputData[[#This Row],[UNIT PRICE (R)]]</f>
        <v>959.04</v>
      </c>
      <c r="G780" s="1" t="str">
        <f>VLOOKUP(InputData[[#This Row],[CUSTOMER NAME]],Country[],2,0)</f>
        <v>Ethiopia</v>
      </c>
      <c r="H780" s="1" t="str">
        <f>VLOOKUP(InputData[[#This Row],[CUSTOMER NAME]],Country[],3,0)</f>
        <v>Export</v>
      </c>
      <c r="I780" s="1" t="str">
        <f>TEXT(InputData[[#This Row],[DATE]],"mmmm")</f>
        <v>December</v>
      </c>
      <c r="J780" s="1" t="str">
        <f>TEXT(InputData[[#This Row],[DATE]],"ddd")</f>
        <v>Tue</v>
      </c>
      <c r="K780" s="14">
        <f>WEEKNUM(InputData[[#This Row],[DATE]])</f>
        <v>50</v>
      </c>
      <c r="N780"/>
      <c r="R780" s="3" t="s">
        <v>61</v>
      </c>
      <c r="S780" s="1" t="str">
        <f t="shared" si="24"/>
        <v>Fairstone Retail Group</v>
      </c>
      <c r="V780"/>
      <c r="Z780" s="11" t="s">
        <v>16</v>
      </c>
      <c r="AA780" s="1" t="str">
        <f t="shared" si="25"/>
        <v>Blind Rivet 6mm</v>
      </c>
      <c r="AF780"/>
    </row>
    <row r="781" spans="1:32" x14ac:dyDescent="0.3">
      <c r="A781" s="10">
        <v>44537</v>
      </c>
      <c r="B781" s="3" t="s">
        <v>181</v>
      </c>
      <c r="C781" s="11" t="s">
        <v>234</v>
      </c>
      <c r="D781" s="12">
        <v>85.5</v>
      </c>
      <c r="E781" s="1">
        <v>27</v>
      </c>
      <c r="F781" s="13">
        <f>InputData[[#This Row],[QUANTITY]]*InputData[[#This Row],[UNIT PRICE (R)]]</f>
        <v>2308.5</v>
      </c>
      <c r="G781" s="1" t="str">
        <f>VLOOKUP(InputData[[#This Row],[CUSTOMER NAME]],Country[],2,0)</f>
        <v>Germany</v>
      </c>
      <c r="H781" s="1" t="str">
        <f>VLOOKUP(InputData[[#This Row],[CUSTOMER NAME]],Country[],3,0)</f>
        <v>Export</v>
      </c>
      <c r="I781" s="1" t="str">
        <f>TEXT(InputData[[#This Row],[DATE]],"mmmm")</f>
        <v>December</v>
      </c>
      <c r="J781" s="1" t="str">
        <f>TEXT(InputData[[#This Row],[DATE]],"ddd")</f>
        <v>Tue</v>
      </c>
      <c r="K781" s="14">
        <f>WEEKNUM(InputData[[#This Row],[DATE]])</f>
        <v>50</v>
      </c>
      <c r="N781"/>
      <c r="R781" s="3" t="s">
        <v>72</v>
      </c>
      <c r="S781" s="1" t="str">
        <f t="shared" si="24"/>
        <v>Hendricks Mercantile</v>
      </c>
      <c r="V781"/>
      <c r="Z781" s="11" t="s">
        <v>38</v>
      </c>
      <c r="AA781" s="1" t="str">
        <f t="shared" si="25"/>
        <v>Cable Tie 300mm</v>
      </c>
      <c r="AF781"/>
    </row>
    <row r="782" spans="1:32" x14ac:dyDescent="0.3">
      <c r="A782" s="10">
        <v>44537</v>
      </c>
      <c r="B782" s="3" t="s">
        <v>182</v>
      </c>
      <c r="C782" s="11" t="s">
        <v>241</v>
      </c>
      <c r="D782" s="12">
        <v>122.08</v>
      </c>
      <c r="E782" s="1">
        <v>8</v>
      </c>
      <c r="F782" s="13">
        <f>InputData[[#This Row],[QUANTITY]]*InputData[[#This Row],[UNIT PRICE (R)]]</f>
        <v>976.64</v>
      </c>
      <c r="G782" s="1" t="str">
        <f>VLOOKUP(InputData[[#This Row],[CUSTOMER NAME]],Country[],2,0)</f>
        <v>United States of America</v>
      </c>
      <c r="H782" s="1" t="str">
        <f>VLOOKUP(InputData[[#This Row],[CUSTOMER NAME]],Country[],3,0)</f>
        <v>Export</v>
      </c>
      <c r="I782" s="1" t="str">
        <f>TEXT(InputData[[#This Row],[DATE]],"mmmm")</f>
        <v>December</v>
      </c>
      <c r="J782" s="1" t="str">
        <f>TEXT(InputData[[#This Row],[DATE]],"ddd")</f>
        <v>Tue</v>
      </c>
      <c r="K782" s="14">
        <f>WEEKNUM(InputData[[#This Row],[DATE]])</f>
        <v>50</v>
      </c>
      <c r="N782"/>
      <c r="R782" s="3" t="s">
        <v>103</v>
      </c>
      <c r="S782" s="1" t="str">
        <f t="shared" si="24"/>
        <v>Vesterly Traders</v>
      </c>
      <c r="V782"/>
      <c r="Z782" s="11" t="s">
        <v>6</v>
      </c>
      <c r="AA782" s="1" t="str">
        <f t="shared" si="25"/>
        <v>Flange Nut M10</v>
      </c>
      <c r="AF782"/>
    </row>
    <row r="783" spans="1:32" x14ac:dyDescent="0.3">
      <c r="A783" s="10">
        <v>44538</v>
      </c>
      <c r="B783" s="3" t="s">
        <v>161</v>
      </c>
      <c r="C783" s="11" t="s">
        <v>269</v>
      </c>
      <c r="D783" s="12">
        <v>173.88</v>
      </c>
      <c r="E783" s="1">
        <v>32</v>
      </c>
      <c r="F783" s="13">
        <f>InputData[[#This Row],[QUANTITY]]*InputData[[#This Row],[UNIT PRICE (R)]]</f>
        <v>5564.16</v>
      </c>
      <c r="G783" s="1" t="str">
        <f>VLOOKUP(InputData[[#This Row],[CUSTOMER NAME]],Country[],2,0)</f>
        <v>India</v>
      </c>
      <c r="H783" s="1" t="str">
        <f>VLOOKUP(InputData[[#This Row],[CUSTOMER NAME]],Country[],3,0)</f>
        <v>Central</v>
      </c>
      <c r="I783" s="1" t="str">
        <f>TEXT(InputData[[#This Row],[DATE]],"mmmm")</f>
        <v>December</v>
      </c>
      <c r="J783" s="1" t="str">
        <f>TEXT(InputData[[#This Row],[DATE]],"ddd")</f>
        <v>Wed</v>
      </c>
      <c r="K783" s="14">
        <f>WEEKNUM(InputData[[#This Row],[DATE]])</f>
        <v>50</v>
      </c>
      <c r="N783"/>
      <c r="R783" s="3" t="s">
        <v>104</v>
      </c>
      <c r="S783" s="1" t="str">
        <f t="shared" si="24"/>
        <v>Radcliffe Mercantile</v>
      </c>
      <c r="V783"/>
      <c r="Z783" s="11" t="s">
        <v>13</v>
      </c>
      <c r="AA783" s="1" t="str">
        <f t="shared" si="25"/>
        <v>Machine Screw M4</v>
      </c>
      <c r="AF783"/>
    </row>
    <row r="784" spans="1:32" x14ac:dyDescent="0.3">
      <c r="A784" s="10">
        <v>44538</v>
      </c>
      <c r="B784" s="3" t="s">
        <v>170</v>
      </c>
      <c r="C784" s="11" t="s">
        <v>272</v>
      </c>
      <c r="D784" s="12">
        <v>82.08</v>
      </c>
      <c r="E784" s="1">
        <v>14</v>
      </c>
      <c r="F784" s="13">
        <f>InputData[[#This Row],[QUANTITY]]*InputData[[#This Row],[UNIT PRICE (R)]]</f>
        <v>1149.1199999999999</v>
      </c>
      <c r="G784" s="1" t="str">
        <f>VLOOKUP(InputData[[#This Row],[CUSTOMER NAME]],Country[],2,0)</f>
        <v>France</v>
      </c>
      <c r="H784" s="1" t="str">
        <f>VLOOKUP(InputData[[#This Row],[CUSTOMER NAME]],Country[],3,0)</f>
        <v>Export</v>
      </c>
      <c r="I784" s="1" t="str">
        <f>TEXT(InputData[[#This Row],[DATE]],"mmmm")</f>
        <v>December</v>
      </c>
      <c r="J784" s="1" t="str">
        <f>TEXT(InputData[[#This Row],[DATE]],"ddd")</f>
        <v>Wed</v>
      </c>
      <c r="K784" s="14">
        <f>WEEKNUM(InputData[[#This Row],[DATE]])</f>
        <v>50</v>
      </c>
      <c r="N784"/>
      <c r="R784" s="3" t="s">
        <v>66</v>
      </c>
      <c r="S784" s="1" t="str">
        <f t="shared" si="24"/>
        <v>Whitfield Distributors</v>
      </c>
      <c r="V784"/>
      <c r="Z784" s="11" t="s">
        <v>41</v>
      </c>
      <c r="AA784" s="1" t="str">
        <f t="shared" si="25"/>
        <v>PVC Elbow 20mm</v>
      </c>
      <c r="AF784"/>
    </row>
    <row r="785" spans="1:32" x14ac:dyDescent="0.3">
      <c r="A785" s="10">
        <v>44539</v>
      </c>
      <c r="B785" s="3" t="s">
        <v>158</v>
      </c>
      <c r="C785" s="11" t="s">
        <v>235</v>
      </c>
      <c r="D785" s="12">
        <v>47.730000000000004</v>
      </c>
      <c r="E785" s="1">
        <v>16</v>
      </c>
      <c r="F785" s="13">
        <f>InputData[[#This Row],[QUANTITY]]*InputData[[#This Row],[UNIT PRICE (R)]]</f>
        <v>763.68000000000006</v>
      </c>
      <c r="G785" s="1" t="str">
        <f>VLOOKUP(InputData[[#This Row],[CUSTOMER NAME]],Country[],2,0)</f>
        <v>Russia</v>
      </c>
      <c r="H785" s="1" t="str">
        <f>VLOOKUP(InputData[[#This Row],[CUSTOMER NAME]],Country[],3,0)</f>
        <v>Export</v>
      </c>
      <c r="I785" s="1" t="str">
        <f>TEXT(InputData[[#This Row],[DATE]],"mmmm")</f>
        <v>December</v>
      </c>
      <c r="J785" s="1" t="str">
        <f>TEXT(InputData[[#This Row],[DATE]],"ddd")</f>
        <v>Thu</v>
      </c>
      <c r="K785" s="14">
        <f>WEEKNUM(InputData[[#This Row],[DATE]])</f>
        <v>50</v>
      </c>
      <c r="N785"/>
      <c r="R785" s="3" t="s">
        <v>75</v>
      </c>
      <c r="S785" s="1" t="str">
        <f t="shared" si="24"/>
        <v>Cranfield &amp; Co.</v>
      </c>
      <c r="V785"/>
      <c r="Z785" s="11" t="s">
        <v>44</v>
      </c>
      <c r="AA785" s="1" t="str">
        <f t="shared" si="25"/>
        <v>Brass Elbow Joint 20mm</v>
      </c>
      <c r="AF785"/>
    </row>
    <row r="786" spans="1:32" x14ac:dyDescent="0.3">
      <c r="A786" s="10">
        <v>44540</v>
      </c>
      <c r="B786" s="3" t="s">
        <v>158</v>
      </c>
      <c r="C786" s="11" t="s">
        <v>245</v>
      </c>
      <c r="D786" s="12">
        <v>156.78</v>
      </c>
      <c r="E786" s="1">
        <v>6</v>
      </c>
      <c r="F786" s="13">
        <f>InputData[[#This Row],[QUANTITY]]*InputData[[#This Row],[UNIT PRICE (R)]]</f>
        <v>940.68000000000006</v>
      </c>
      <c r="G786" s="1" t="str">
        <f>VLOOKUP(InputData[[#This Row],[CUSTOMER NAME]],Country[],2,0)</f>
        <v>Russia</v>
      </c>
      <c r="H786" s="1" t="str">
        <f>VLOOKUP(InputData[[#This Row],[CUSTOMER NAME]],Country[],3,0)</f>
        <v>Export</v>
      </c>
      <c r="I786" s="1" t="str">
        <f>TEXT(InputData[[#This Row],[DATE]],"mmmm")</f>
        <v>December</v>
      </c>
      <c r="J786" s="1" t="str">
        <f>TEXT(InputData[[#This Row],[DATE]],"ddd")</f>
        <v>Fri</v>
      </c>
      <c r="K786" s="14">
        <f>WEEKNUM(InputData[[#This Row],[DATE]])</f>
        <v>50</v>
      </c>
      <c r="N786"/>
      <c r="R786" s="3" t="s">
        <v>63</v>
      </c>
      <c r="S786" s="1" t="str">
        <f t="shared" si="24"/>
        <v>Ovenden &amp; Sons</v>
      </c>
      <c r="V786"/>
      <c r="Z786" s="11" t="s">
        <v>7</v>
      </c>
      <c r="AA786" s="1" t="str">
        <f t="shared" si="25"/>
        <v>Lock Washer M8</v>
      </c>
      <c r="AF786"/>
    </row>
    <row r="787" spans="1:32" x14ac:dyDescent="0.3">
      <c r="A787" s="10">
        <v>44540</v>
      </c>
      <c r="B787" s="3" t="s">
        <v>182</v>
      </c>
      <c r="C787" s="11" t="s">
        <v>265</v>
      </c>
      <c r="D787" s="12">
        <v>85.76</v>
      </c>
      <c r="E787" s="1">
        <v>19</v>
      </c>
      <c r="F787" s="13">
        <f>InputData[[#This Row],[QUANTITY]]*InputData[[#This Row],[UNIT PRICE (R)]]</f>
        <v>1629.44</v>
      </c>
      <c r="G787" s="1" t="str">
        <f>VLOOKUP(InputData[[#This Row],[CUSTOMER NAME]],Country[],2,0)</f>
        <v>United States of America</v>
      </c>
      <c r="H787" s="1" t="str">
        <f>VLOOKUP(InputData[[#This Row],[CUSTOMER NAME]],Country[],3,0)</f>
        <v>Export</v>
      </c>
      <c r="I787" s="1" t="str">
        <f>TEXT(InputData[[#This Row],[DATE]],"mmmm")</f>
        <v>December</v>
      </c>
      <c r="J787" s="1" t="str">
        <f>TEXT(InputData[[#This Row],[DATE]],"ddd")</f>
        <v>Fri</v>
      </c>
      <c r="K787" s="14">
        <f>WEEKNUM(InputData[[#This Row],[DATE]])</f>
        <v>50</v>
      </c>
      <c r="N787"/>
      <c r="R787" s="3" t="s">
        <v>63</v>
      </c>
      <c r="S787" s="1" t="str">
        <f t="shared" si="24"/>
        <v>Ovenden &amp; Sons</v>
      </c>
      <c r="V787"/>
      <c r="Z787" s="11" t="s">
        <v>17</v>
      </c>
      <c r="AA787" s="1" t="str">
        <f t="shared" si="25"/>
        <v>Cotter Pin 3mm</v>
      </c>
      <c r="AF787"/>
    </row>
    <row r="788" spans="1:32" x14ac:dyDescent="0.3">
      <c r="A788" s="10">
        <v>44541</v>
      </c>
      <c r="B788" s="3" t="s">
        <v>174</v>
      </c>
      <c r="C788" s="11" t="s">
        <v>242</v>
      </c>
      <c r="D788" s="12">
        <v>146.72</v>
      </c>
      <c r="E788" s="1">
        <v>10</v>
      </c>
      <c r="F788" s="13">
        <f>InputData[[#This Row],[QUANTITY]]*InputData[[#This Row],[UNIT PRICE (R)]]</f>
        <v>1467.2</v>
      </c>
      <c r="G788" s="1" t="str">
        <f>VLOOKUP(InputData[[#This Row],[CUSTOMER NAME]],Country[],2,0)</f>
        <v>Pakistan</v>
      </c>
      <c r="H788" s="1" t="str">
        <f>VLOOKUP(InputData[[#This Row],[CUSTOMER NAME]],Country[],3,0)</f>
        <v>Export</v>
      </c>
      <c r="I788" s="1" t="str">
        <f>TEXT(InputData[[#This Row],[DATE]],"mmmm")</f>
        <v>December</v>
      </c>
      <c r="J788" s="1" t="str">
        <f>TEXT(InputData[[#This Row],[DATE]],"ddd")</f>
        <v>Sat</v>
      </c>
      <c r="K788" s="14">
        <f>WEEKNUM(InputData[[#This Row],[DATE]])</f>
        <v>50</v>
      </c>
      <c r="N788"/>
      <c r="R788" s="3" t="s">
        <v>104</v>
      </c>
      <c r="S788" s="1" t="str">
        <f t="shared" si="24"/>
        <v>Radcliffe Mercantile</v>
      </c>
      <c r="V788"/>
      <c r="Z788" s="11" t="s">
        <v>37</v>
      </c>
      <c r="AA788" s="1" t="str">
        <f t="shared" si="25"/>
        <v>Turnbuckle Hook M6</v>
      </c>
      <c r="AF788"/>
    </row>
    <row r="789" spans="1:32" x14ac:dyDescent="0.3">
      <c r="A789" s="10">
        <v>44541</v>
      </c>
      <c r="B789" s="3" t="s">
        <v>156</v>
      </c>
      <c r="C789" s="11" t="s">
        <v>255</v>
      </c>
      <c r="D789" s="12">
        <v>57.120000000000005</v>
      </c>
      <c r="E789" s="1">
        <v>5</v>
      </c>
      <c r="F789" s="13">
        <f>InputData[[#This Row],[QUANTITY]]*InputData[[#This Row],[UNIT PRICE (R)]]</f>
        <v>285.60000000000002</v>
      </c>
      <c r="G789" s="1" t="str">
        <f>VLOOKUP(InputData[[#This Row],[CUSTOMER NAME]],Country[],2,0)</f>
        <v>India</v>
      </c>
      <c r="H789" s="1" t="str">
        <f>VLOOKUP(InputData[[#This Row],[CUSTOMER NAME]],Country[],3,0)</f>
        <v>East</v>
      </c>
      <c r="I789" s="1" t="str">
        <f>TEXT(InputData[[#This Row],[DATE]],"mmmm")</f>
        <v>December</v>
      </c>
      <c r="J789" s="1" t="str">
        <f>TEXT(InputData[[#This Row],[DATE]],"ddd")</f>
        <v>Sat</v>
      </c>
      <c r="K789" s="14">
        <f>WEEKNUM(InputData[[#This Row],[DATE]])</f>
        <v>50</v>
      </c>
      <c r="N789"/>
      <c r="R789" s="3" t="s">
        <v>96</v>
      </c>
      <c r="S789" s="1" t="str">
        <f t="shared" si="24"/>
        <v>Draycott Wholesalers</v>
      </c>
      <c r="V789"/>
      <c r="Z789" s="11" t="s">
        <v>14</v>
      </c>
      <c r="AA789" s="1" t="str">
        <f t="shared" si="25"/>
        <v>Cap Screw M6</v>
      </c>
      <c r="AF789"/>
    </row>
    <row r="790" spans="1:32" x14ac:dyDescent="0.3">
      <c r="A790" s="10">
        <v>44541</v>
      </c>
      <c r="B790" s="3" t="s">
        <v>165</v>
      </c>
      <c r="C790" s="11" t="s">
        <v>241</v>
      </c>
      <c r="D790" s="12">
        <v>122.08</v>
      </c>
      <c r="E790" s="1">
        <v>9</v>
      </c>
      <c r="F790" s="13">
        <f>InputData[[#This Row],[QUANTITY]]*InputData[[#This Row],[UNIT PRICE (R)]]</f>
        <v>1098.72</v>
      </c>
      <c r="G790" s="1" t="str">
        <f>VLOOKUP(InputData[[#This Row],[CUSTOMER NAME]],Country[],2,0)</f>
        <v>India</v>
      </c>
      <c r="H790" s="1" t="str">
        <f>VLOOKUP(InputData[[#This Row],[CUSTOMER NAME]],Country[],3,0)</f>
        <v>Western</v>
      </c>
      <c r="I790" s="1" t="str">
        <f>TEXT(InputData[[#This Row],[DATE]],"mmmm")</f>
        <v>December</v>
      </c>
      <c r="J790" s="1" t="str">
        <f>TEXT(InputData[[#This Row],[DATE]],"ddd")</f>
        <v>Sat</v>
      </c>
      <c r="K790" s="14">
        <f>WEEKNUM(InputData[[#This Row],[DATE]])</f>
        <v>50</v>
      </c>
      <c r="N790"/>
      <c r="R790" s="3" t="s">
        <v>61</v>
      </c>
      <c r="S790" s="1" t="str">
        <f t="shared" si="24"/>
        <v>Fairstone Retail Group</v>
      </c>
      <c r="V790"/>
      <c r="Z790" s="11" t="s">
        <v>27</v>
      </c>
      <c r="AA790" s="1" t="str">
        <f t="shared" si="25"/>
        <v>Padlock Hasp 100mm</v>
      </c>
      <c r="AF790"/>
    </row>
    <row r="791" spans="1:32" x14ac:dyDescent="0.3">
      <c r="A791" s="10">
        <v>44542</v>
      </c>
      <c r="B791" s="3" t="s">
        <v>160</v>
      </c>
      <c r="C791" s="11" t="s">
        <v>269</v>
      </c>
      <c r="D791" s="12">
        <v>173.88</v>
      </c>
      <c r="E791" s="1">
        <v>10</v>
      </c>
      <c r="F791" s="13">
        <f>InputData[[#This Row],[QUANTITY]]*InputData[[#This Row],[UNIT PRICE (R)]]</f>
        <v>1738.8</v>
      </c>
      <c r="G791" s="1" t="str">
        <f>VLOOKUP(InputData[[#This Row],[CUSTOMER NAME]],Country[],2,0)</f>
        <v>India</v>
      </c>
      <c r="H791" s="1" t="str">
        <f>VLOOKUP(InputData[[#This Row],[CUSTOMER NAME]],Country[],3,0)</f>
        <v>Western</v>
      </c>
      <c r="I791" s="1" t="str">
        <f>TEXT(InputData[[#This Row],[DATE]],"mmmm")</f>
        <v>December</v>
      </c>
      <c r="J791" s="1" t="str">
        <f>TEXT(InputData[[#This Row],[DATE]],"ddd")</f>
        <v>Sun</v>
      </c>
      <c r="K791" s="14">
        <f>WEEKNUM(InputData[[#This Row],[DATE]])</f>
        <v>51</v>
      </c>
      <c r="N791"/>
      <c r="R791" s="3" t="s">
        <v>70</v>
      </c>
      <c r="S791" s="1" t="str">
        <f t="shared" si="24"/>
        <v>Larkspur Retailers</v>
      </c>
      <c r="V791"/>
      <c r="Z791" s="11" t="s">
        <v>13</v>
      </c>
      <c r="AA791" s="1" t="str">
        <f t="shared" si="25"/>
        <v>Machine Screw M4</v>
      </c>
      <c r="AF791"/>
    </row>
    <row r="792" spans="1:32" x14ac:dyDescent="0.3">
      <c r="A792" s="10">
        <v>44542</v>
      </c>
      <c r="B792" s="3" t="s">
        <v>161</v>
      </c>
      <c r="C792" s="11" t="s">
        <v>258</v>
      </c>
      <c r="D792" s="12">
        <v>201.28</v>
      </c>
      <c r="E792" s="1">
        <v>9</v>
      </c>
      <c r="F792" s="13">
        <f>InputData[[#This Row],[QUANTITY]]*InputData[[#This Row],[UNIT PRICE (R)]]</f>
        <v>1811.52</v>
      </c>
      <c r="G792" s="1" t="str">
        <f>VLOOKUP(InputData[[#This Row],[CUSTOMER NAME]],Country[],2,0)</f>
        <v>India</v>
      </c>
      <c r="H792" s="1" t="str">
        <f>VLOOKUP(InputData[[#This Row],[CUSTOMER NAME]],Country[],3,0)</f>
        <v>Central</v>
      </c>
      <c r="I792" s="1" t="str">
        <f>TEXT(InputData[[#This Row],[DATE]],"mmmm")</f>
        <v>December</v>
      </c>
      <c r="J792" s="1" t="str">
        <f>TEXT(InputData[[#This Row],[DATE]],"ddd")</f>
        <v>Sun</v>
      </c>
      <c r="K792" s="14">
        <f>WEEKNUM(InputData[[#This Row],[DATE]])</f>
        <v>51</v>
      </c>
      <c r="N792"/>
      <c r="R792" s="3" t="s">
        <v>65</v>
      </c>
      <c r="S792" s="1" t="str">
        <f t="shared" si="24"/>
        <v>Talbot Street Merchants</v>
      </c>
      <c r="V792"/>
      <c r="Z792" s="11" t="s">
        <v>41</v>
      </c>
      <c r="AA792" s="1" t="str">
        <f t="shared" si="25"/>
        <v>PVC Elbow 20mm</v>
      </c>
      <c r="AF792"/>
    </row>
    <row r="793" spans="1:32" x14ac:dyDescent="0.3">
      <c r="A793" s="10">
        <v>44544</v>
      </c>
      <c r="B793" s="3" t="s">
        <v>174</v>
      </c>
      <c r="C793" s="11" t="s">
        <v>240</v>
      </c>
      <c r="D793" s="12">
        <v>94.17</v>
      </c>
      <c r="E793" s="1">
        <v>6</v>
      </c>
      <c r="F793" s="13">
        <f>InputData[[#This Row],[QUANTITY]]*InputData[[#This Row],[UNIT PRICE (R)]]</f>
        <v>565.02</v>
      </c>
      <c r="G793" s="1" t="str">
        <f>VLOOKUP(InputData[[#This Row],[CUSTOMER NAME]],Country[],2,0)</f>
        <v>Pakistan</v>
      </c>
      <c r="H793" s="1" t="str">
        <f>VLOOKUP(InputData[[#This Row],[CUSTOMER NAME]],Country[],3,0)</f>
        <v>Export</v>
      </c>
      <c r="I793" s="1" t="str">
        <f>TEXT(InputData[[#This Row],[DATE]],"mmmm")</f>
        <v>December</v>
      </c>
      <c r="J793" s="1" t="str">
        <f>TEXT(InputData[[#This Row],[DATE]],"ddd")</f>
        <v>Tue</v>
      </c>
      <c r="K793" s="14">
        <f>WEEKNUM(InputData[[#This Row],[DATE]])</f>
        <v>51</v>
      </c>
      <c r="N793"/>
      <c r="R793" s="3" t="s">
        <v>66</v>
      </c>
      <c r="S793" s="1" t="str">
        <f t="shared" si="24"/>
        <v>Whitfield Distributors</v>
      </c>
      <c r="V793"/>
      <c r="Z793" s="11" t="s">
        <v>30</v>
      </c>
      <c r="AA793" s="1" t="str">
        <f t="shared" si="25"/>
        <v>Door Latch Set</v>
      </c>
      <c r="AF793"/>
    </row>
    <row r="794" spans="1:32" x14ac:dyDescent="0.3">
      <c r="A794" s="10">
        <v>44544</v>
      </c>
      <c r="B794" s="3" t="s">
        <v>155</v>
      </c>
      <c r="C794" s="11" t="s">
        <v>270</v>
      </c>
      <c r="D794" s="12">
        <v>162</v>
      </c>
      <c r="E794" s="1">
        <v>4</v>
      </c>
      <c r="F794" s="13">
        <f>InputData[[#This Row],[QUANTITY]]*InputData[[#This Row],[UNIT PRICE (R)]]</f>
        <v>648</v>
      </c>
      <c r="G794" s="1" t="str">
        <f>VLOOKUP(InputData[[#This Row],[CUSTOMER NAME]],Country[],2,0)</f>
        <v>Brazil</v>
      </c>
      <c r="H794" s="1" t="str">
        <f>VLOOKUP(InputData[[#This Row],[CUSTOMER NAME]],Country[],3,0)</f>
        <v>Export</v>
      </c>
      <c r="I794" s="1" t="str">
        <f>TEXT(InputData[[#This Row],[DATE]],"mmmm")</f>
        <v>December</v>
      </c>
      <c r="J794" s="1" t="str">
        <f>TEXT(InputData[[#This Row],[DATE]],"ddd")</f>
        <v>Tue</v>
      </c>
      <c r="K794" s="14">
        <f>WEEKNUM(InputData[[#This Row],[DATE]])</f>
        <v>51</v>
      </c>
      <c r="N794"/>
      <c r="R794" s="3" t="s">
        <v>96</v>
      </c>
      <c r="S794" s="1" t="str">
        <f t="shared" si="24"/>
        <v>Draycott Wholesalers</v>
      </c>
      <c r="V794"/>
      <c r="Z794" s="11" t="s">
        <v>12</v>
      </c>
      <c r="AA794" s="1" t="str">
        <f t="shared" si="25"/>
        <v>Drywall Screw 30mm</v>
      </c>
      <c r="AF794"/>
    </row>
    <row r="795" spans="1:32" x14ac:dyDescent="0.3">
      <c r="A795" s="10">
        <v>44544</v>
      </c>
      <c r="B795" s="3" t="s">
        <v>170</v>
      </c>
      <c r="C795" s="11" t="s">
        <v>233</v>
      </c>
      <c r="D795" s="12">
        <v>155.61000000000001</v>
      </c>
      <c r="E795" s="1">
        <v>4</v>
      </c>
      <c r="F795" s="13">
        <f>InputData[[#This Row],[QUANTITY]]*InputData[[#This Row],[UNIT PRICE (R)]]</f>
        <v>622.44000000000005</v>
      </c>
      <c r="G795" s="1" t="str">
        <f>VLOOKUP(InputData[[#This Row],[CUSTOMER NAME]],Country[],2,0)</f>
        <v>France</v>
      </c>
      <c r="H795" s="1" t="str">
        <f>VLOOKUP(InputData[[#This Row],[CUSTOMER NAME]],Country[],3,0)</f>
        <v>Export</v>
      </c>
      <c r="I795" s="1" t="str">
        <f>TEXT(InputData[[#This Row],[DATE]],"mmmm")</f>
        <v>December</v>
      </c>
      <c r="J795" s="1" t="str">
        <f>TEXT(InputData[[#This Row],[DATE]],"ddd")</f>
        <v>Tue</v>
      </c>
      <c r="K795" s="14">
        <f>WEEKNUM(InputData[[#This Row],[DATE]])</f>
        <v>51</v>
      </c>
      <c r="N795"/>
      <c r="R795" s="3" t="s">
        <v>60</v>
      </c>
      <c r="S795" s="1" t="str">
        <f t="shared" si="24"/>
        <v>Union Cross Supply Co.</v>
      </c>
      <c r="V795"/>
      <c r="Z795" s="11" t="s">
        <v>42</v>
      </c>
      <c r="AA795" s="1" t="str">
        <f t="shared" si="25"/>
        <v>PVC Coupling 25mm</v>
      </c>
      <c r="AF795"/>
    </row>
    <row r="796" spans="1:32" x14ac:dyDescent="0.3">
      <c r="A796" s="10">
        <v>44545</v>
      </c>
      <c r="B796" s="3" t="s">
        <v>175</v>
      </c>
      <c r="C796" s="11" t="s">
        <v>258</v>
      </c>
      <c r="D796" s="12">
        <v>201.28</v>
      </c>
      <c r="E796" s="1">
        <v>33</v>
      </c>
      <c r="F796" s="13">
        <f>InputData[[#This Row],[QUANTITY]]*InputData[[#This Row],[UNIT PRICE (R)]]</f>
        <v>6642.24</v>
      </c>
      <c r="G796" s="1" t="str">
        <f>VLOOKUP(InputData[[#This Row],[CUSTOMER NAME]],Country[],2,0)</f>
        <v>India</v>
      </c>
      <c r="H796" s="1" t="str">
        <f>VLOOKUP(InputData[[#This Row],[CUSTOMER NAME]],Country[],3,0)</f>
        <v>Western</v>
      </c>
      <c r="I796" s="1" t="str">
        <f>TEXT(InputData[[#This Row],[DATE]],"mmmm")</f>
        <v>December</v>
      </c>
      <c r="J796" s="1" t="str">
        <f>TEXT(InputData[[#This Row],[DATE]],"ddd")</f>
        <v>Wed</v>
      </c>
      <c r="K796" s="14">
        <f>WEEKNUM(InputData[[#This Row],[DATE]])</f>
        <v>51</v>
      </c>
      <c r="N796"/>
      <c r="R796" s="3" t="s">
        <v>75</v>
      </c>
      <c r="S796" s="1" t="str">
        <f t="shared" si="24"/>
        <v>Cranfield &amp; Co.</v>
      </c>
      <c r="V796"/>
      <c r="Z796" s="11" t="s">
        <v>5</v>
      </c>
      <c r="AA796" s="1" t="str">
        <f t="shared" si="25"/>
        <v>Wing Nut M6</v>
      </c>
      <c r="AF796"/>
    </row>
    <row r="797" spans="1:32" x14ac:dyDescent="0.3">
      <c r="A797" s="10">
        <v>44545</v>
      </c>
      <c r="B797" s="3" t="s">
        <v>156</v>
      </c>
      <c r="C797" s="11" t="s">
        <v>237</v>
      </c>
      <c r="D797" s="12">
        <v>7.8599999999999994</v>
      </c>
      <c r="E797" s="1">
        <v>13</v>
      </c>
      <c r="F797" s="13">
        <f>InputData[[#This Row],[QUANTITY]]*InputData[[#This Row],[UNIT PRICE (R)]]</f>
        <v>102.17999999999999</v>
      </c>
      <c r="G797" s="1" t="str">
        <f>VLOOKUP(InputData[[#This Row],[CUSTOMER NAME]],Country[],2,0)</f>
        <v>India</v>
      </c>
      <c r="H797" s="1" t="str">
        <f>VLOOKUP(InputData[[#This Row],[CUSTOMER NAME]],Country[],3,0)</f>
        <v>East</v>
      </c>
      <c r="I797" s="1" t="str">
        <f>TEXT(InputData[[#This Row],[DATE]],"mmmm")</f>
        <v>December</v>
      </c>
      <c r="J797" s="1" t="str">
        <f>TEXT(InputData[[#This Row],[DATE]],"ddd")</f>
        <v>Wed</v>
      </c>
      <c r="K797" s="14">
        <f>WEEKNUM(InputData[[#This Row],[DATE]])</f>
        <v>51</v>
      </c>
      <c r="N797"/>
      <c r="R797" s="3" t="s">
        <v>97</v>
      </c>
      <c r="S797" s="1" t="str">
        <f t="shared" si="24"/>
        <v>Stonebridge Commercial</v>
      </c>
      <c r="V797"/>
      <c r="Z797" s="11" t="s">
        <v>30</v>
      </c>
      <c r="AA797" s="1" t="str">
        <f t="shared" si="25"/>
        <v>Door Latch Set</v>
      </c>
      <c r="AF797"/>
    </row>
    <row r="798" spans="1:32" x14ac:dyDescent="0.3">
      <c r="A798" s="10">
        <v>44545</v>
      </c>
      <c r="B798" s="3" t="s">
        <v>165</v>
      </c>
      <c r="C798" s="11" t="s">
        <v>244</v>
      </c>
      <c r="D798" s="12">
        <v>16.64</v>
      </c>
      <c r="E798" s="1">
        <v>6</v>
      </c>
      <c r="F798" s="13">
        <f>InputData[[#This Row],[QUANTITY]]*InputData[[#This Row],[UNIT PRICE (R)]]</f>
        <v>99.84</v>
      </c>
      <c r="G798" s="1" t="str">
        <f>VLOOKUP(InputData[[#This Row],[CUSTOMER NAME]],Country[],2,0)</f>
        <v>India</v>
      </c>
      <c r="H798" s="1" t="str">
        <f>VLOOKUP(InputData[[#This Row],[CUSTOMER NAME]],Country[],3,0)</f>
        <v>Western</v>
      </c>
      <c r="I798" s="1" t="str">
        <f>TEXT(InputData[[#This Row],[DATE]],"mmmm")</f>
        <v>December</v>
      </c>
      <c r="J798" s="1" t="str">
        <f>TEXT(InputData[[#This Row],[DATE]],"ddd")</f>
        <v>Wed</v>
      </c>
      <c r="K798" s="14">
        <f>WEEKNUM(InputData[[#This Row],[DATE]])</f>
        <v>51</v>
      </c>
      <c r="N798"/>
      <c r="R798" s="3" t="s">
        <v>61</v>
      </c>
      <c r="S798" s="1" t="str">
        <f t="shared" si="24"/>
        <v>Fairstone Retail Group</v>
      </c>
      <c r="V798"/>
      <c r="Z798" s="11" t="s">
        <v>9</v>
      </c>
      <c r="AA798" s="1" t="str">
        <f t="shared" si="25"/>
        <v>Threaded Rod M12</v>
      </c>
      <c r="AF798"/>
    </row>
    <row r="799" spans="1:32" x14ac:dyDescent="0.3">
      <c r="A799" s="10">
        <v>44546</v>
      </c>
      <c r="B799" s="3" t="s">
        <v>161</v>
      </c>
      <c r="C799" s="11" t="s">
        <v>238</v>
      </c>
      <c r="D799" s="12">
        <v>164.28</v>
      </c>
      <c r="E799" s="1">
        <v>9</v>
      </c>
      <c r="F799" s="13">
        <f>InputData[[#This Row],[QUANTITY]]*InputData[[#This Row],[UNIT PRICE (R)]]</f>
        <v>1478.52</v>
      </c>
      <c r="G799" s="1" t="str">
        <f>VLOOKUP(InputData[[#This Row],[CUSTOMER NAME]],Country[],2,0)</f>
        <v>India</v>
      </c>
      <c r="H799" s="1" t="str">
        <f>VLOOKUP(InputData[[#This Row],[CUSTOMER NAME]],Country[],3,0)</f>
        <v>Central</v>
      </c>
      <c r="I799" s="1" t="str">
        <f>TEXT(InputData[[#This Row],[DATE]],"mmmm")</f>
        <v>December</v>
      </c>
      <c r="J799" s="1" t="str">
        <f>TEXT(InputData[[#This Row],[DATE]],"ddd")</f>
        <v>Thu</v>
      </c>
      <c r="K799" s="14">
        <f>WEEKNUM(InputData[[#This Row],[DATE]])</f>
        <v>51</v>
      </c>
      <c r="N799"/>
      <c r="R799" s="3" t="s">
        <v>70</v>
      </c>
      <c r="S799" s="1" t="str">
        <f t="shared" si="24"/>
        <v>Larkspur Retailers</v>
      </c>
      <c r="V799"/>
      <c r="Z799" s="11" t="s">
        <v>16</v>
      </c>
      <c r="AA799" s="1" t="str">
        <f t="shared" si="25"/>
        <v>Blind Rivet 6mm</v>
      </c>
      <c r="AF799"/>
    </row>
    <row r="800" spans="1:32" x14ac:dyDescent="0.3">
      <c r="A800" s="10">
        <v>44547</v>
      </c>
      <c r="B800" s="3" t="s">
        <v>146</v>
      </c>
      <c r="C800" s="11" t="s">
        <v>254</v>
      </c>
      <c r="D800" s="12">
        <v>24.66</v>
      </c>
      <c r="E800" s="1">
        <v>20</v>
      </c>
      <c r="F800" s="13">
        <f>InputData[[#This Row],[QUANTITY]]*InputData[[#This Row],[UNIT PRICE (R)]]</f>
        <v>493.2</v>
      </c>
      <c r="G800" s="1" t="str">
        <f>VLOOKUP(InputData[[#This Row],[CUSTOMER NAME]],Country[],2,0)</f>
        <v>Saudi Arabia</v>
      </c>
      <c r="H800" s="1" t="str">
        <f>VLOOKUP(InputData[[#This Row],[CUSTOMER NAME]],Country[],3,0)</f>
        <v>Export</v>
      </c>
      <c r="I800" s="1" t="str">
        <f>TEXT(InputData[[#This Row],[DATE]],"mmmm")</f>
        <v>December</v>
      </c>
      <c r="J800" s="1" t="str">
        <f>TEXT(InputData[[#This Row],[DATE]],"ddd")</f>
        <v>Fri</v>
      </c>
      <c r="K800" s="14">
        <f>WEEKNUM(InputData[[#This Row],[DATE]])</f>
        <v>51</v>
      </c>
      <c r="N800"/>
      <c r="R800" s="3" t="s">
        <v>66</v>
      </c>
      <c r="S800" s="1" t="str">
        <f t="shared" si="24"/>
        <v>Whitfield Distributors</v>
      </c>
      <c r="V800"/>
      <c r="Z800" s="11" t="s">
        <v>10</v>
      </c>
      <c r="AA800" s="1" t="str">
        <f t="shared" si="25"/>
        <v>Self-Tapping Screw 25mm</v>
      </c>
      <c r="AF800"/>
    </row>
    <row r="801" spans="1:32" x14ac:dyDescent="0.3">
      <c r="A801" s="10">
        <v>44548</v>
      </c>
      <c r="B801" s="3" t="s">
        <v>150</v>
      </c>
      <c r="C801" s="11" t="s">
        <v>250</v>
      </c>
      <c r="D801" s="12">
        <v>141.57</v>
      </c>
      <c r="E801" s="1">
        <v>8</v>
      </c>
      <c r="F801" s="13">
        <f>InputData[[#This Row],[QUANTITY]]*InputData[[#This Row],[UNIT PRICE (R)]]</f>
        <v>1132.56</v>
      </c>
      <c r="G801" s="1" t="str">
        <f>VLOOKUP(InputData[[#This Row],[CUSTOMER NAME]],Country[],2,0)</f>
        <v>United Kingdom</v>
      </c>
      <c r="H801" s="1" t="str">
        <f>VLOOKUP(InputData[[#This Row],[CUSTOMER NAME]],Country[],3,0)</f>
        <v>Export</v>
      </c>
      <c r="I801" s="1" t="str">
        <f>TEXT(InputData[[#This Row],[DATE]],"mmmm")</f>
        <v>December</v>
      </c>
      <c r="J801" s="1" t="str">
        <f>TEXT(InputData[[#This Row],[DATE]],"ddd")</f>
        <v>Sat</v>
      </c>
      <c r="K801" s="14">
        <f>WEEKNUM(InputData[[#This Row],[DATE]])</f>
        <v>51</v>
      </c>
      <c r="N801"/>
      <c r="R801" s="3" t="s">
        <v>51</v>
      </c>
      <c r="S801" s="1" t="str">
        <f t="shared" si="24"/>
        <v>Coastal Fittings Ltd</v>
      </c>
      <c r="V801"/>
      <c r="Z801" s="11" t="s">
        <v>26</v>
      </c>
      <c r="AA801" s="1" t="str">
        <f t="shared" si="25"/>
        <v>Chain Link 6mm</v>
      </c>
      <c r="AF801"/>
    </row>
    <row r="802" spans="1:32" x14ac:dyDescent="0.3">
      <c r="A802" s="10">
        <v>44548</v>
      </c>
      <c r="B802" s="3" t="s">
        <v>165</v>
      </c>
      <c r="C802" s="11" t="s">
        <v>231</v>
      </c>
      <c r="D802" s="12">
        <v>80.94</v>
      </c>
      <c r="E802" s="1">
        <v>2</v>
      </c>
      <c r="F802" s="13">
        <f>InputData[[#This Row],[QUANTITY]]*InputData[[#This Row],[UNIT PRICE (R)]]</f>
        <v>161.88</v>
      </c>
      <c r="G802" s="1" t="str">
        <f>VLOOKUP(InputData[[#This Row],[CUSTOMER NAME]],Country[],2,0)</f>
        <v>India</v>
      </c>
      <c r="H802" s="1" t="str">
        <f>VLOOKUP(InputData[[#This Row],[CUSTOMER NAME]],Country[],3,0)</f>
        <v>Western</v>
      </c>
      <c r="I802" s="1" t="str">
        <f>TEXT(InputData[[#This Row],[DATE]],"mmmm")</f>
        <v>December</v>
      </c>
      <c r="J802" s="1" t="str">
        <f>TEXT(InputData[[#This Row],[DATE]],"ddd")</f>
        <v>Sat</v>
      </c>
      <c r="K802" s="14">
        <f>WEEKNUM(InputData[[#This Row],[DATE]])</f>
        <v>51</v>
      </c>
      <c r="N802"/>
      <c r="R802" s="3" t="s">
        <v>55</v>
      </c>
      <c r="S802" s="1" t="str">
        <f t="shared" si="24"/>
        <v>Silverline Wholesalers</v>
      </c>
      <c r="V802"/>
      <c r="Z802" s="11" t="s">
        <v>22</v>
      </c>
      <c r="AA802" s="1" t="str">
        <f t="shared" si="25"/>
        <v>Hose Clamp 32mm</v>
      </c>
      <c r="AF802"/>
    </row>
    <row r="803" spans="1:32" x14ac:dyDescent="0.3">
      <c r="A803" s="10">
        <v>44549</v>
      </c>
      <c r="B803" s="3" t="s">
        <v>149</v>
      </c>
      <c r="C803" s="11" t="s">
        <v>263</v>
      </c>
      <c r="D803" s="12">
        <v>6.7</v>
      </c>
      <c r="E803" s="1">
        <v>20</v>
      </c>
      <c r="F803" s="13">
        <f>InputData[[#This Row],[QUANTITY]]*InputData[[#This Row],[UNIT PRICE (R)]]</f>
        <v>134</v>
      </c>
      <c r="G803" s="1" t="str">
        <f>VLOOKUP(InputData[[#This Row],[CUSTOMER NAME]],Country[],2,0)</f>
        <v>Indonesia</v>
      </c>
      <c r="H803" s="1" t="str">
        <f>VLOOKUP(InputData[[#This Row],[CUSTOMER NAME]],Country[],3,0)</f>
        <v>Export</v>
      </c>
      <c r="I803" s="1" t="str">
        <f>TEXT(InputData[[#This Row],[DATE]],"mmmm")</f>
        <v>December</v>
      </c>
      <c r="J803" s="1" t="str">
        <f>TEXT(InputData[[#This Row],[DATE]],"ddd")</f>
        <v>Sun</v>
      </c>
      <c r="K803" s="14">
        <f>WEEKNUM(InputData[[#This Row],[DATE]])</f>
        <v>52</v>
      </c>
      <c r="N803"/>
      <c r="R803" s="3" t="s">
        <v>70</v>
      </c>
      <c r="S803" s="1" t="str">
        <f t="shared" si="24"/>
        <v>Larkspur Retailers</v>
      </c>
      <c r="V803"/>
      <c r="Z803" s="11" t="s">
        <v>3</v>
      </c>
      <c r="AA803" s="1" t="str">
        <f t="shared" si="25"/>
        <v>Hex Bolt M12</v>
      </c>
      <c r="AF803"/>
    </row>
    <row r="804" spans="1:32" x14ac:dyDescent="0.3">
      <c r="A804" s="10">
        <v>44549</v>
      </c>
      <c r="B804" s="3" t="s">
        <v>175</v>
      </c>
      <c r="C804" s="11" t="s">
        <v>272</v>
      </c>
      <c r="D804" s="12">
        <v>82.08</v>
      </c>
      <c r="E804" s="1">
        <v>7</v>
      </c>
      <c r="F804" s="13">
        <f>InputData[[#This Row],[QUANTITY]]*InputData[[#This Row],[UNIT PRICE (R)]]</f>
        <v>574.55999999999995</v>
      </c>
      <c r="G804" s="1" t="str">
        <f>VLOOKUP(InputData[[#This Row],[CUSTOMER NAME]],Country[],2,0)</f>
        <v>India</v>
      </c>
      <c r="H804" s="1" t="str">
        <f>VLOOKUP(InputData[[#This Row],[CUSTOMER NAME]],Country[],3,0)</f>
        <v>Western</v>
      </c>
      <c r="I804" s="1" t="str">
        <f>TEXT(InputData[[#This Row],[DATE]],"mmmm")</f>
        <v>December</v>
      </c>
      <c r="J804" s="1" t="str">
        <f>TEXT(InputData[[#This Row],[DATE]],"ddd")</f>
        <v>Sun</v>
      </c>
      <c r="K804" s="14">
        <f>WEEKNUM(InputData[[#This Row],[DATE]])</f>
        <v>52</v>
      </c>
      <c r="N804"/>
      <c r="R804" s="3" t="s">
        <v>54</v>
      </c>
      <c r="S804" s="1" t="str">
        <f t="shared" si="24"/>
        <v>Kestrel Logistics</v>
      </c>
      <c r="V804"/>
      <c r="Z804" s="11" t="s">
        <v>35</v>
      </c>
      <c r="AA804" s="1" t="str">
        <f t="shared" si="25"/>
        <v>T-Bracket 100mm</v>
      </c>
      <c r="AF804"/>
    </row>
    <row r="805" spans="1:32" x14ac:dyDescent="0.3">
      <c r="A805" s="10">
        <v>44549</v>
      </c>
      <c r="B805" s="3" t="s">
        <v>175</v>
      </c>
      <c r="C805" s="11" t="s">
        <v>237</v>
      </c>
      <c r="D805" s="12">
        <v>7.8599999999999994</v>
      </c>
      <c r="E805" s="1">
        <v>11</v>
      </c>
      <c r="F805" s="13">
        <f>InputData[[#This Row],[QUANTITY]]*InputData[[#This Row],[UNIT PRICE (R)]]</f>
        <v>86.46</v>
      </c>
      <c r="G805" s="1" t="str">
        <f>VLOOKUP(InputData[[#This Row],[CUSTOMER NAME]],Country[],2,0)</f>
        <v>India</v>
      </c>
      <c r="H805" s="1" t="str">
        <f>VLOOKUP(InputData[[#This Row],[CUSTOMER NAME]],Country[],3,0)</f>
        <v>Western</v>
      </c>
      <c r="I805" s="1" t="str">
        <f>TEXT(InputData[[#This Row],[DATE]],"mmmm")</f>
        <v>December</v>
      </c>
      <c r="J805" s="1" t="str">
        <f>TEXT(InputData[[#This Row],[DATE]],"ddd")</f>
        <v>Sun</v>
      </c>
      <c r="K805" s="14">
        <f>WEEKNUM(InputData[[#This Row],[DATE]])</f>
        <v>52</v>
      </c>
      <c r="N805"/>
      <c r="R805" s="3" t="s">
        <v>97</v>
      </c>
      <c r="S805" s="1" t="str">
        <f t="shared" si="24"/>
        <v>Stonebridge Commercial</v>
      </c>
      <c r="V805"/>
      <c r="Z805" s="11" t="s">
        <v>44</v>
      </c>
      <c r="AA805" s="1" t="str">
        <f t="shared" si="25"/>
        <v>Brass Elbow Joint 20mm</v>
      </c>
      <c r="AF805"/>
    </row>
    <row r="806" spans="1:32" x14ac:dyDescent="0.3">
      <c r="A806" s="10">
        <v>44549</v>
      </c>
      <c r="B806" s="3" t="s">
        <v>156</v>
      </c>
      <c r="C806" s="11" t="s">
        <v>257</v>
      </c>
      <c r="D806" s="12">
        <v>53.11</v>
      </c>
      <c r="E806" s="1">
        <v>3</v>
      </c>
      <c r="F806" s="13">
        <f>InputData[[#This Row],[QUANTITY]]*InputData[[#This Row],[UNIT PRICE (R)]]</f>
        <v>159.32999999999998</v>
      </c>
      <c r="G806" s="1" t="str">
        <f>VLOOKUP(InputData[[#This Row],[CUSTOMER NAME]],Country[],2,0)</f>
        <v>India</v>
      </c>
      <c r="H806" s="1" t="str">
        <f>VLOOKUP(InputData[[#This Row],[CUSTOMER NAME]],Country[],3,0)</f>
        <v>East</v>
      </c>
      <c r="I806" s="1" t="str">
        <f>TEXT(InputData[[#This Row],[DATE]],"mmmm")</f>
        <v>December</v>
      </c>
      <c r="J806" s="1" t="str">
        <f>TEXT(InputData[[#This Row],[DATE]],"ddd")</f>
        <v>Sun</v>
      </c>
      <c r="K806" s="14">
        <f>WEEKNUM(InputData[[#This Row],[DATE]])</f>
        <v>52</v>
      </c>
      <c r="N806"/>
      <c r="R806" s="3" t="s">
        <v>97</v>
      </c>
      <c r="S806" s="1" t="str">
        <f t="shared" si="24"/>
        <v>Stonebridge Commercial</v>
      </c>
      <c r="V806"/>
      <c r="Z806" s="11" t="s">
        <v>9</v>
      </c>
      <c r="AA806" s="1" t="str">
        <f t="shared" si="25"/>
        <v>Threaded Rod M12</v>
      </c>
      <c r="AF806"/>
    </row>
    <row r="807" spans="1:32" x14ac:dyDescent="0.3">
      <c r="A807" s="10">
        <v>44549</v>
      </c>
      <c r="B807" s="3" t="s">
        <v>157</v>
      </c>
      <c r="C807" s="11" t="s">
        <v>239</v>
      </c>
      <c r="D807" s="12">
        <v>48.4</v>
      </c>
      <c r="E807" s="1">
        <v>14</v>
      </c>
      <c r="F807" s="13">
        <f>InputData[[#This Row],[QUANTITY]]*InputData[[#This Row],[UNIT PRICE (R)]]</f>
        <v>677.6</v>
      </c>
      <c r="G807" s="1" t="str">
        <f>VLOOKUP(InputData[[#This Row],[CUSTOMER NAME]],Country[],2,0)</f>
        <v>Brazil</v>
      </c>
      <c r="H807" s="1" t="str">
        <f>VLOOKUP(InputData[[#This Row],[CUSTOMER NAME]],Country[],3,0)</f>
        <v>Export</v>
      </c>
      <c r="I807" s="1" t="str">
        <f>TEXT(InputData[[#This Row],[DATE]],"mmmm")</f>
        <v>December</v>
      </c>
      <c r="J807" s="1" t="str">
        <f>TEXT(InputData[[#This Row],[DATE]],"ddd")</f>
        <v>Sun</v>
      </c>
      <c r="K807" s="14">
        <f>WEEKNUM(InputData[[#This Row],[DATE]])</f>
        <v>52</v>
      </c>
      <c r="N807"/>
      <c r="R807" s="3" t="s">
        <v>61</v>
      </c>
      <c r="S807" s="1" t="str">
        <f t="shared" si="24"/>
        <v>Fairstone Retail Group</v>
      </c>
      <c r="V807"/>
      <c r="Z807" s="11" t="s">
        <v>29</v>
      </c>
      <c r="AA807" s="1" t="str">
        <f t="shared" si="25"/>
        <v>Butt Hinge 100mm</v>
      </c>
      <c r="AF807"/>
    </row>
    <row r="808" spans="1:32" x14ac:dyDescent="0.3">
      <c r="A808" s="10">
        <v>44549</v>
      </c>
      <c r="B808" s="3" t="s">
        <v>158</v>
      </c>
      <c r="C808" s="11" t="s">
        <v>251</v>
      </c>
      <c r="D808" s="12">
        <v>149.46</v>
      </c>
      <c r="E808" s="1">
        <v>12</v>
      </c>
      <c r="F808" s="13">
        <f>InputData[[#This Row],[QUANTITY]]*InputData[[#This Row],[UNIT PRICE (R)]]</f>
        <v>1793.52</v>
      </c>
      <c r="G808" s="1" t="str">
        <f>VLOOKUP(InputData[[#This Row],[CUSTOMER NAME]],Country[],2,0)</f>
        <v>Russia</v>
      </c>
      <c r="H808" s="1" t="str">
        <f>VLOOKUP(InputData[[#This Row],[CUSTOMER NAME]],Country[],3,0)</f>
        <v>Export</v>
      </c>
      <c r="I808" s="1" t="str">
        <f>TEXT(InputData[[#This Row],[DATE]],"mmmm")</f>
        <v>December</v>
      </c>
      <c r="J808" s="1" t="str">
        <f>TEXT(InputData[[#This Row],[DATE]],"ddd")</f>
        <v>Sun</v>
      </c>
      <c r="K808" s="14">
        <f>WEEKNUM(InputData[[#This Row],[DATE]])</f>
        <v>52</v>
      </c>
      <c r="N808"/>
      <c r="R808" s="3" t="s">
        <v>62</v>
      </c>
      <c r="S808" s="1" t="str">
        <f t="shared" si="24"/>
        <v>Marchbank Traders</v>
      </c>
      <c r="V808"/>
      <c r="Z808" s="11" t="s">
        <v>11</v>
      </c>
      <c r="AA808" s="1" t="str">
        <f t="shared" si="25"/>
        <v>Wood Screw 40mm</v>
      </c>
      <c r="AF808"/>
    </row>
    <row r="809" spans="1:32" x14ac:dyDescent="0.3">
      <c r="A809" s="10">
        <v>44549</v>
      </c>
      <c r="B809" s="3" t="s">
        <v>161</v>
      </c>
      <c r="C809" s="11" t="s">
        <v>251</v>
      </c>
      <c r="D809" s="12">
        <v>149.46</v>
      </c>
      <c r="E809" s="1">
        <v>13</v>
      </c>
      <c r="F809" s="13">
        <f>InputData[[#This Row],[QUANTITY]]*InputData[[#This Row],[UNIT PRICE (R)]]</f>
        <v>1942.98</v>
      </c>
      <c r="G809" s="1" t="str">
        <f>VLOOKUP(InputData[[#This Row],[CUSTOMER NAME]],Country[],2,0)</f>
        <v>India</v>
      </c>
      <c r="H809" s="1" t="str">
        <f>VLOOKUP(InputData[[#This Row],[CUSTOMER NAME]],Country[],3,0)</f>
        <v>Central</v>
      </c>
      <c r="I809" s="1" t="str">
        <f>TEXT(InputData[[#This Row],[DATE]],"mmmm")</f>
        <v>December</v>
      </c>
      <c r="J809" s="1" t="str">
        <f>TEXT(InputData[[#This Row],[DATE]],"ddd")</f>
        <v>Sun</v>
      </c>
      <c r="K809" s="14">
        <f>WEEKNUM(InputData[[#This Row],[DATE]])</f>
        <v>52</v>
      </c>
      <c r="N809"/>
      <c r="R809" s="3" t="s">
        <v>63</v>
      </c>
      <c r="S809" s="1" t="str">
        <f t="shared" si="24"/>
        <v>Ovenden &amp; Sons</v>
      </c>
      <c r="V809"/>
      <c r="Z809" s="11" t="s">
        <v>23</v>
      </c>
      <c r="AA809" s="1" t="str">
        <f t="shared" si="25"/>
        <v>U-Bolt M8</v>
      </c>
      <c r="AF809"/>
    </row>
    <row r="810" spans="1:32" x14ac:dyDescent="0.3">
      <c r="A810" s="10">
        <v>44549</v>
      </c>
      <c r="B810" s="3" t="s">
        <v>167</v>
      </c>
      <c r="C810" s="11" t="s">
        <v>239</v>
      </c>
      <c r="D810" s="12">
        <v>48.4</v>
      </c>
      <c r="E810" s="1">
        <v>10</v>
      </c>
      <c r="F810" s="13">
        <f>InputData[[#This Row],[QUANTITY]]*InputData[[#This Row],[UNIT PRICE (R)]]</f>
        <v>484</v>
      </c>
      <c r="G810" s="1" t="str">
        <f>VLOOKUP(InputData[[#This Row],[CUSTOMER NAME]],Country[],2,0)</f>
        <v>Ethiopia</v>
      </c>
      <c r="H810" s="1" t="str">
        <f>VLOOKUP(InputData[[#This Row],[CUSTOMER NAME]],Country[],3,0)</f>
        <v>Export</v>
      </c>
      <c r="I810" s="1" t="str">
        <f>TEXT(InputData[[#This Row],[DATE]],"mmmm")</f>
        <v>December</v>
      </c>
      <c r="J810" s="1" t="str">
        <f>TEXT(InputData[[#This Row],[DATE]],"ddd")</f>
        <v>Sun</v>
      </c>
      <c r="K810" s="14">
        <f>WEEKNUM(InputData[[#This Row],[DATE]])</f>
        <v>52</v>
      </c>
      <c r="N810"/>
      <c r="R810" s="3" t="s">
        <v>66</v>
      </c>
      <c r="S810" s="1" t="str">
        <f t="shared" si="24"/>
        <v>Whitfield Distributors</v>
      </c>
      <c r="V810"/>
      <c r="Z810" s="11" t="s">
        <v>23</v>
      </c>
      <c r="AA810" s="1" t="str">
        <f t="shared" si="25"/>
        <v>U-Bolt M8</v>
      </c>
      <c r="AF810"/>
    </row>
    <row r="811" spans="1:32" x14ac:dyDescent="0.3">
      <c r="A811" s="10">
        <v>44550</v>
      </c>
      <c r="B811" s="3" t="s">
        <v>147</v>
      </c>
      <c r="C811" s="11" t="s">
        <v>240</v>
      </c>
      <c r="D811" s="12">
        <v>94.17</v>
      </c>
      <c r="E811" s="1">
        <v>14</v>
      </c>
      <c r="F811" s="13">
        <f>InputData[[#This Row],[QUANTITY]]*InputData[[#This Row],[UNIT PRICE (R)]]</f>
        <v>1318.38</v>
      </c>
      <c r="G811" s="1" t="str">
        <f>VLOOKUP(InputData[[#This Row],[CUSTOMER NAME]],Country[],2,0)</f>
        <v>India</v>
      </c>
      <c r="H811" s="1" t="str">
        <f>VLOOKUP(InputData[[#This Row],[CUSTOMER NAME]],Country[],3,0)</f>
        <v>Northeast</v>
      </c>
      <c r="I811" s="1" t="str">
        <f>TEXT(InputData[[#This Row],[DATE]],"mmmm")</f>
        <v>December</v>
      </c>
      <c r="J811" s="1" t="str">
        <f>TEXT(InputData[[#This Row],[DATE]],"ddd")</f>
        <v>Mon</v>
      </c>
      <c r="K811" s="14">
        <f>WEEKNUM(InputData[[#This Row],[DATE]])</f>
        <v>52</v>
      </c>
      <c r="N811"/>
      <c r="R811" s="3" t="s">
        <v>72</v>
      </c>
      <c r="S811" s="1" t="str">
        <f t="shared" si="24"/>
        <v>Hendricks Mercantile</v>
      </c>
      <c r="V811"/>
      <c r="Z811" s="11" t="s">
        <v>11</v>
      </c>
      <c r="AA811" s="1" t="str">
        <f t="shared" si="25"/>
        <v>Wood Screw 40mm</v>
      </c>
      <c r="AF811"/>
    </row>
    <row r="812" spans="1:32" x14ac:dyDescent="0.3">
      <c r="A812" s="10">
        <v>44550</v>
      </c>
      <c r="B812" s="3" t="s">
        <v>160</v>
      </c>
      <c r="C812" s="11" t="s">
        <v>263</v>
      </c>
      <c r="D812" s="12">
        <v>6.7</v>
      </c>
      <c r="E812" s="1">
        <v>24</v>
      </c>
      <c r="F812" s="13">
        <f>InputData[[#This Row],[QUANTITY]]*InputData[[#This Row],[UNIT PRICE (R)]]</f>
        <v>160.80000000000001</v>
      </c>
      <c r="G812" s="1" t="str">
        <f>VLOOKUP(InputData[[#This Row],[CUSTOMER NAME]],Country[],2,0)</f>
        <v>India</v>
      </c>
      <c r="H812" s="1" t="str">
        <f>VLOOKUP(InputData[[#This Row],[CUSTOMER NAME]],Country[],3,0)</f>
        <v>Western</v>
      </c>
      <c r="I812" s="1" t="str">
        <f>TEXT(InputData[[#This Row],[DATE]],"mmmm")</f>
        <v>December</v>
      </c>
      <c r="J812" s="1" t="str">
        <f>TEXT(InputData[[#This Row],[DATE]],"ddd")</f>
        <v>Mon</v>
      </c>
      <c r="K812" s="14">
        <f>WEEKNUM(InputData[[#This Row],[DATE]])</f>
        <v>52</v>
      </c>
      <c r="N812"/>
      <c r="R812" s="3" t="s">
        <v>52</v>
      </c>
      <c r="S812" s="1" t="str">
        <f t="shared" si="24"/>
        <v>Harrow Distribution</v>
      </c>
      <c r="V812"/>
      <c r="Z812" s="11" t="s">
        <v>12</v>
      </c>
      <c r="AA812" s="1" t="str">
        <f t="shared" si="25"/>
        <v>Drywall Screw 30mm</v>
      </c>
      <c r="AF812"/>
    </row>
    <row r="813" spans="1:32" x14ac:dyDescent="0.3">
      <c r="A813" s="10">
        <v>44551</v>
      </c>
      <c r="B813" s="3" t="s">
        <v>146</v>
      </c>
      <c r="C813" s="11" t="s">
        <v>234</v>
      </c>
      <c r="D813" s="12">
        <v>85.5</v>
      </c>
      <c r="E813" s="1">
        <v>10</v>
      </c>
      <c r="F813" s="13">
        <f>InputData[[#This Row],[QUANTITY]]*InputData[[#This Row],[UNIT PRICE (R)]]</f>
        <v>855</v>
      </c>
      <c r="G813" s="1" t="str">
        <f>VLOOKUP(InputData[[#This Row],[CUSTOMER NAME]],Country[],2,0)</f>
        <v>Saudi Arabia</v>
      </c>
      <c r="H813" s="1" t="str">
        <f>VLOOKUP(InputData[[#This Row],[CUSTOMER NAME]],Country[],3,0)</f>
        <v>Export</v>
      </c>
      <c r="I813" s="1" t="str">
        <f>TEXT(InputData[[#This Row],[DATE]],"mmmm")</f>
        <v>December</v>
      </c>
      <c r="J813" s="1" t="str">
        <f>TEXT(InputData[[#This Row],[DATE]],"ddd")</f>
        <v>Tue</v>
      </c>
      <c r="K813" s="14">
        <f>WEEKNUM(InputData[[#This Row],[DATE]])</f>
        <v>52</v>
      </c>
      <c r="N813"/>
      <c r="R813" s="3" t="s">
        <v>65</v>
      </c>
      <c r="S813" s="1" t="str">
        <f t="shared" si="24"/>
        <v>Talbot Street Merchants</v>
      </c>
      <c r="V813"/>
      <c r="Z813" s="11" t="s">
        <v>35</v>
      </c>
      <c r="AA813" s="1" t="str">
        <f t="shared" si="25"/>
        <v>T-Bracket 100mm</v>
      </c>
      <c r="AF813"/>
    </row>
    <row r="814" spans="1:32" x14ac:dyDescent="0.3">
      <c r="A814" s="10">
        <v>44551</v>
      </c>
      <c r="B814" s="3" t="s">
        <v>177</v>
      </c>
      <c r="C814" s="11" t="s">
        <v>254</v>
      </c>
      <c r="D814" s="12">
        <v>24.66</v>
      </c>
      <c r="E814" s="1">
        <v>10</v>
      </c>
      <c r="F814" s="13">
        <f>InputData[[#This Row],[QUANTITY]]*InputData[[#This Row],[UNIT PRICE (R)]]</f>
        <v>246.6</v>
      </c>
      <c r="G814" s="1" t="str">
        <f>VLOOKUP(InputData[[#This Row],[CUSTOMER NAME]],Country[],2,0)</f>
        <v>India</v>
      </c>
      <c r="H814" s="1" t="str">
        <f>VLOOKUP(InputData[[#This Row],[CUSTOMER NAME]],Country[],3,0)</f>
        <v>North</v>
      </c>
      <c r="I814" s="1" t="str">
        <f>TEXT(InputData[[#This Row],[DATE]],"mmmm")</f>
        <v>December</v>
      </c>
      <c r="J814" s="1" t="str">
        <f>TEXT(InputData[[#This Row],[DATE]],"ddd")</f>
        <v>Tue</v>
      </c>
      <c r="K814" s="14">
        <f>WEEKNUM(InputData[[#This Row],[DATE]])</f>
        <v>52</v>
      </c>
      <c r="N814"/>
      <c r="R814" s="3" t="s">
        <v>51</v>
      </c>
      <c r="S814" s="1" t="str">
        <f t="shared" si="24"/>
        <v>Coastal Fittings Ltd</v>
      </c>
      <c r="V814"/>
      <c r="Z814" s="11" t="s">
        <v>6</v>
      </c>
      <c r="AA814" s="1" t="str">
        <f t="shared" si="25"/>
        <v>Flange Nut M10</v>
      </c>
      <c r="AF814"/>
    </row>
    <row r="815" spans="1:32" x14ac:dyDescent="0.3">
      <c r="A815" s="10">
        <v>44551</v>
      </c>
      <c r="B815" s="3" t="s">
        <v>155</v>
      </c>
      <c r="C815" s="11" t="s">
        <v>248</v>
      </c>
      <c r="D815" s="12">
        <v>76.25</v>
      </c>
      <c r="E815" s="1">
        <v>16</v>
      </c>
      <c r="F815" s="13">
        <f>InputData[[#This Row],[QUANTITY]]*InputData[[#This Row],[UNIT PRICE (R)]]</f>
        <v>1220</v>
      </c>
      <c r="G815" s="1" t="str">
        <f>VLOOKUP(InputData[[#This Row],[CUSTOMER NAME]],Country[],2,0)</f>
        <v>Brazil</v>
      </c>
      <c r="H815" s="1" t="str">
        <f>VLOOKUP(InputData[[#This Row],[CUSTOMER NAME]],Country[],3,0)</f>
        <v>Export</v>
      </c>
      <c r="I815" s="1" t="str">
        <f>TEXT(InputData[[#This Row],[DATE]],"mmmm")</f>
        <v>December</v>
      </c>
      <c r="J815" s="1" t="str">
        <f>TEXT(InputData[[#This Row],[DATE]],"ddd")</f>
        <v>Tue</v>
      </c>
      <c r="K815" s="14">
        <f>WEEKNUM(InputData[[#This Row],[DATE]])</f>
        <v>52</v>
      </c>
      <c r="N815"/>
      <c r="R815" s="3" t="s">
        <v>99</v>
      </c>
      <c r="S815" s="1" t="str">
        <f t="shared" si="24"/>
        <v>Northfield Traders</v>
      </c>
      <c r="V815"/>
      <c r="Z815" s="11" t="s">
        <v>26</v>
      </c>
      <c r="AA815" s="1" t="str">
        <f t="shared" si="25"/>
        <v>Chain Link 6mm</v>
      </c>
      <c r="AF815"/>
    </row>
    <row r="816" spans="1:32" x14ac:dyDescent="0.3">
      <c r="A816" s="10">
        <v>44551</v>
      </c>
      <c r="B816" s="3" t="s">
        <v>161</v>
      </c>
      <c r="C816" s="11" t="s">
        <v>250</v>
      </c>
      <c r="D816" s="12">
        <v>141.57</v>
      </c>
      <c r="E816" s="1">
        <v>16</v>
      </c>
      <c r="F816" s="13">
        <f>InputData[[#This Row],[QUANTITY]]*InputData[[#This Row],[UNIT PRICE (R)]]</f>
        <v>2265.12</v>
      </c>
      <c r="G816" s="1" t="str">
        <f>VLOOKUP(InputData[[#This Row],[CUSTOMER NAME]],Country[],2,0)</f>
        <v>India</v>
      </c>
      <c r="H816" s="1" t="str">
        <f>VLOOKUP(InputData[[#This Row],[CUSTOMER NAME]],Country[],3,0)</f>
        <v>Central</v>
      </c>
      <c r="I816" s="1" t="str">
        <f>TEXT(InputData[[#This Row],[DATE]],"mmmm")</f>
        <v>December</v>
      </c>
      <c r="J816" s="1" t="str">
        <f>TEXT(InputData[[#This Row],[DATE]],"ddd")</f>
        <v>Tue</v>
      </c>
      <c r="K816" s="14">
        <f>WEEKNUM(InputData[[#This Row],[DATE]])</f>
        <v>52</v>
      </c>
      <c r="N816"/>
      <c r="R816" s="3" t="s">
        <v>60</v>
      </c>
      <c r="S816" s="1" t="str">
        <f t="shared" si="24"/>
        <v>Union Cross Supply Co.</v>
      </c>
      <c r="V816"/>
      <c r="Z816" s="11" t="s">
        <v>20</v>
      </c>
      <c r="AA816" s="1" t="str">
        <f t="shared" si="25"/>
        <v>Toggle Bolt M6</v>
      </c>
      <c r="AF816"/>
    </row>
    <row r="817" spans="1:32" x14ac:dyDescent="0.3">
      <c r="A817" s="10">
        <v>44552</v>
      </c>
      <c r="B817" s="3" t="s">
        <v>176</v>
      </c>
      <c r="C817" s="11" t="s">
        <v>269</v>
      </c>
      <c r="D817" s="12">
        <v>173.88</v>
      </c>
      <c r="E817" s="1">
        <v>35</v>
      </c>
      <c r="F817" s="13">
        <f>InputData[[#This Row],[QUANTITY]]*InputData[[#This Row],[UNIT PRICE (R)]]</f>
        <v>6085.8</v>
      </c>
      <c r="G817" s="1" t="str">
        <f>VLOOKUP(InputData[[#This Row],[CUSTOMER NAME]],Country[],2,0)</f>
        <v>India</v>
      </c>
      <c r="H817" s="1" t="str">
        <f>VLOOKUP(InputData[[#This Row],[CUSTOMER NAME]],Country[],3,0)</f>
        <v>Northeast</v>
      </c>
      <c r="I817" s="1" t="str">
        <f>TEXT(InputData[[#This Row],[DATE]],"mmmm")</f>
        <v>December</v>
      </c>
      <c r="J817" s="1" t="str">
        <f>TEXT(InputData[[#This Row],[DATE]],"ddd")</f>
        <v>Wed</v>
      </c>
      <c r="K817" s="14">
        <f>WEEKNUM(InputData[[#This Row],[DATE]])</f>
        <v>52</v>
      </c>
      <c r="N817"/>
      <c r="R817" s="3" t="s">
        <v>66</v>
      </c>
      <c r="S817" s="1" t="str">
        <f t="shared" si="24"/>
        <v>Whitfield Distributors</v>
      </c>
      <c r="V817"/>
      <c r="Z817" s="11" t="s">
        <v>22</v>
      </c>
      <c r="AA817" s="1" t="str">
        <f t="shared" si="25"/>
        <v>Hose Clamp 32mm</v>
      </c>
      <c r="AF817"/>
    </row>
    <row r="818" spans="1:32" x14ac:dyDescent="0.3">
      <c r="A818" s="10">
        <v>44552</v>
      </c>
      <c r="B818" s="3" t="s">
        <v>177</v>
      </c>
      <c r="C818" s="11" t="s">
        <v>270</v>
      </c>
      <c r="D818" s="12">
        <v>162</v>
      </c>
      <c r="E818" s="1">
        <v>5</v>
      </c>
      <c r="F818" s="13">
        <f>InputData[[#This Row],[QUANTITY]]*InputData[[#This Row],[UNIT PRICE (R)]]</f>
        <v>810</v>
      </c>
      <c r="G818" s="1" t="str">
        <f>VLOOKUP(InputData[[#This Row],[CUSTOMER NAME]],Country[],2,0)</f>
        <v>India</v>
      </c>
      <c r="H818" s="1" t="str">
        <f>VLOOKUP(InputData[[#This Row],[CUSTOMER NAME]],Country[],3,0)</f>
        <v>North</v>
      </c>
      <c r="I818" s="1" t="str">
        <f>TEXT(InputData[[#This Row],[DATE]],"mmmm")</f>
        <v>December</v>
      </c>
      <c r="J818" s="1" t="str">
        <f>TEXT(InputData[[#This Row],[DATE]],"ddd")</f>
        <v>Wed</v>
      </c>
      <c r="K818" s="14">
        <f>WEEKNUM(InputData[[#This Row],[DATE]])</f>
        <v>52</v>
      </c>
      <c r="N818"/>
      <c r="R818" s="3" t="s">
        <v>98</v>
      </c>
      <c r="S818" s="1" t="str">
        <f t="shared" si="24"/>
        <v>Alderman Retail Group</v>
      </c>
      <c r="V818"/>
      <c r="Z818" s="11" t="s">
        <v>41</v>
      </c>
      <c r="AA818" s="1" t="str">
        <f t="shared" si="25"/>
        <v>PVC Elbow 20mm</v>
      </c>
      <c r="AF818"/>
    </row>
    <row r="819" spans="1:32" x14ac:dyDescent="0.3">
      <c r="A819" s="10">
        <v>44554</v>
      </c>
      <c r="B819" s="3" t="s">
        <v>155</v>
      </c>
      <c r="C819" s="11" t="s">
        <v>264</v>
      </c>
      <c r="D819" s="12">
        <v>96.3</v>
      </c>
      <c r="E819" s="1">
        <v>8</v>
      </c>
      <c r="F819" s="13">
        <f>InputData[[#This Row],[QUANTITY]]*InputData[[#This Row],[UNIT PRICE (R)]]</f>
        <v>770.4</v>
      </c>
      <c r="G819" s="1" t="str">
        <f>VLOOKUP(InputData[[#This Row],[CUSTOMER NAME]],Country[],2,0)</f>
        <v>Brazil</v>
      </c>
      <c r="H819" s="1" t="str">
        <f>VLOOKUP(InputData[[#This Row],[CUSTOMER NAME]],Country[],3,0)</f>
        <v>Export</v>
      </c>
      <c r="I819" s="1" t="str">
        <f>TEXT(InputData[[#This Row],[DATE]],"mmmm")</f>
        <v>December</v>
      </c>
      <c r="J819" s="1" t="str">
        <f>TEXT(InputData[[#This Row],[DATE]],"ddd")</f>
        <v>Fri</v>
      </c>
      <c r="K819" s="14">
        <f>WEEKNUM(InputData[[#This Row],[DATE]])</f>
        <v>52</v>
      </c>
      <c r="N819"/>
      <c r="R819" s="3" t="s">
        <v>99</v>
      </c>
      <c r="S819" s="1" t="str">
        <f t="shared" si="24"/>
        <v>Northfield Traders</v>
      </c>
      <c r="V819"/>
      <c r="Z819" s="11" t="s">
        <v>42</v>
      </c>
      <c r="AA819" s="1" t="str">
        <f t="shared" si="25"/>
        <v>PVC Coupling 25mm</v>
      </c>
      <c r="AF819"/>
    </row>
    <row r="820" spans="1:32" x14ac:dyDescent="0.3">
      <c r="A820" s="10">
        <v>44554</v>
      </c>
      <c r="B820" s="3" t="s">
        <v>163</v>
      </c>
      <c r="C820" s="11" t="s">
        <v>270</v>
      </c>
      <c r="D820" s="12">
        <v>162</v>
      </c>
      <c r="E820" s="1">
        <v>8</v>
      </c>
      <c r="F820" s="13">
        <f>InputData[[#This Row],[QUANTITY]]*InputData[[#This Row],[UNIT PRICE (R)]]</f>
        <v>1296</v>
      </c>
      <c r="G820" s="1" t="str">
        <f>VLOOKUP(InputData[[#This Row],[CUSTOMER NAME]],Country[],2,0)</f>
        <v>South Africa</v>
      </c>
      <c r="H820" s="1" t="str">
        <f>VLOOKUP(InputData[[#This Row],[CUSTOMER NAME]],Country[],3,0)</f>
        <v>Export</v>
      </c>
      <c r="I820" s="1" t="str">
        <f>TEXT(InputData[[#This Row],[DATE]],"mmmm")</f>
        <v>December</v>
      </c>
      <c r="J820" s="1" t="str">
        <f>TEXT(InputData[[#This Row],[DATE]],"ddd")</f>
        <v>Fri</v>
      </c>
      <c r="K820" s="14">
        <f>WEEKNUM(InputData[[#This Row],[DATE]])</f>
        <v>52</v>
      </c>
      <c r="N820"/>
      <c r="R820" s="3" t="s">
        <v>60</v>
      </c>
      <c r="S820" s="1" t="str">
        <f t="shared" si="24"/>
        <v>Union Cross Supply Co.</v>
      </c>
      <c r="V820"/>
      <c r="Z820" s="11" t="s">
        <v>36</v>
      </c>
      <c r="AA820" s="1" t="str">
        <f t="shared" si="25"/>
        <v>Mending Plate 100mm</v>
      </c>
      <c r="AF820"/>
    </row>
    <row r="821" spans="1:32" x14ac:dyDescent="0.3">
      <c r="A821" s="10">
        <v>44555</v>
      </c>
      <c r="B821" s="3" t="s">
        <v>144</v>
      </c>
      <c r="C821" s="11" t="s">
        <v>239</v>
      </c>
      <c r="D821" s="12">
        <v>48.4</v>
      </c>
      <c r="E821" s="1">
        <v>29</v>
      </c>
      <c r="F821" s="13">
        <f>InputData[[#This Row],[QUANTITY]]*InputData[[#This Row],[UNIT PRICE (R)]]</f>
        <v>1403.6</v>
      </c>
      <c r="G821" s="1" t="str">
        <f>VLOOKUP(InputData[[#This Row],[CUSTOMER NAME]],Country[],2,0)</f>
        <v>Bangladesh</v>
      </c>
      <c r="H821" s="1" t="str">
        <f>VLOOKUP(InputData[[#This Row],[CUSTOMER NAME]],Country[],3,0)</f>
        <v>Export</v>
      </c>
      <c r="I821" s="1" t="str">
        <f>TEXT(InputData[[#This Row],[DATE]],"mmmm")</f>
        <v>December</v>
      </c>
      <c r="J821" s="1" t="str">
        <f>TEXT(InputData[[#This Row],[DATE]],"ddd")</f>
        <v>Sat</v>
      </c>
      <c r="K821" s="14">
        <f>WEEKNUM(InputData[[#This Row],[DATE]])</f>
        <v>52</v>
      </c>
      <c r="N821"/>
      <c r="R821" s="3" t="s">
        <v>68</v>
      </c>
      <c r="S821" s="1" t="str">
        <f t="shared" si="24"/>
        <v>Delacroix Wholesale</v>
      </c>
      <c r="V821"/>
      <c r="Z821" s="11" t="s">
        <v>42</v>
      </c>
      <c r="AA821" s="1" t="str">
        <f t="shared" si="25"/>
        <v>PVC Coupling 25mm</v>
      </c>
      <c r="AF821"/>
    </row>
    <row r="822" spans="1:32" x14ac:dyDescent="0.3">
      <c r="A822" s="10">
        <v>44555</v>
      </c>
      <c r="B822" s="3" t="s">
        <v>144</v>
      </c>
      <c r="C822" s="11" t="s">
        <v>253</v>
      </c>
      <c r="D822" s="12">
        <v>8.33</v>
      </c>
      <c r="E822" s="1">
        <v>39</v>
      </c>
      <c r="F822" s="13">
        <f>InputData[[#This Row],[QUANTITY]]*InputData[[#This Row],[UNIT PRICE (R)]]</f>
        <v>324.87</v>
      </c>
      <c r="G822" s="1" t="str">
        <f>VLOOKUP(InputData[[#This Row],[CUSTOMER NAME]],Country[],2,0)</f>
        <v>Bangladesh</v>
      </c>
      <c r="H822" s="1" t="str">
        <f>VLOOKUP(InputData[[#This Row],[CUSTOMER NAME]],Country[],3,0)</f>
        <v>Export</v>
      </c>
      <c r="I822" s="1" t="str">
        <f>TEXT(InputData[[#This Row],[DATE]],"mmmm")</f>
        <v>December</v>
      </c>
      <c r="J822" s="1" t="str">
        <f>TEXT(InputData[[#This Row],[DATE]],"ddd")</f>
        <v>Sat</v>
      </c>
      <c r="K822" s="14">
        <f>WEEKNUM(InputData[[#This Row],[DATE]])</f>
        <v>52</v>
      </c>
      <c r="N822"/>
      <c r="R822" s="3" t="s">
        <v>49</v>
      </c>
      <c r="S822" s="1" t="str">
        <f t="shared" si="24"/>
        <v>Baxter &amp; Kline Supplies</v>
      </c>
      <c r="V822"/>
      <c r="Z822" s="11" t="s">
        <v>11</v>
      </c>
      <c r="AA822" s="1" t="str">
        <f t="shared" si="25"/>
        <v>Wood Screw 40mm</v>
      </c>
      <c r="AF822"/>
    </row>
    <row r="823" spans="1:32" x14ac:dyDescent="0.3">
      <c r="A823" s="10">
        <v>44555</v>
      </c>
      <c r="B823" s="3" t="s">
        <v>147</v>
      </c>
      <c r="C823" s="11" t="s">
        <v>268</v>
      </c>
      <c r="D823" s="12">
        <v>115.2</v>
      </c>
      <c r="E823" s="1">
        <v>15</v>
      </c>
      <c r="F823" s="13">
        <f>InputData[[#This Row],[QUANTITY]]*InputData[[#This Row],[UNIT PRICE (R)]]</f>
        <v>1728</v>
      </c>
      <c r="G823" s="1" t="str">
        <f>VLOOKUP(InputData[[#This Row],[CUSTOMER NAME]],Country[],2,0)</f>
        <v>India</v>
      </c>
      <c r="H823" s="1" t="str">
        <f>VLOOKUP(InputData[[#This Row],[CUSTOMER NAME]],Country[],3,0)</f>
        <v>Northeast</v>
      </c>
      <c r="I823" s="1" t="str">
        <f>TEXT(InputData[[#This Row],[DATE]],"mmmm")</f>
        <v>December</v>
      </c>
      <c r="J823" s="1" t="str">
        <f>TEXT(InputData[[#This Row],[DATE]],"ddd")</f>
        <v>Sat</v>
      </c>
      <c r="K823" s="14">
        <f>WEEKNUM(InputData[[#This Row],[DATE]])</f>
        <v>52</v>
      </c>
      <c r="N823"/>
      <c r="R823" s="3" t="s">
        <v>49</v>
      </c>
      <c r="S823" s="1" t="str">
        <f t="shared" si="24"/>
        <v>Baxter &amp; Kline Supplies</v>
      </c>
      <c r="V823"/>
      <c r="Z823" s="11" t="s">
        <v>25</v>
      </c>
      <c r="AA823" s="1" t="str">
        <f t="shared" si="25"/>
        <v>Turnbuckle M8</v>
      </c>
      <c r="AF823"/>
    </row>
    <row r="824" spans="1:32" x14ac:dyDescent="0.3">
      <c r="A824" s="10">
        <v>44556</v>
      </c>
      <c r="B824" s="3" t="s">
        <v>167</v>
      </c>
      <c r="C824" s="11" t="s">
        <v>269</v>
      </c>
      <c r="D824" s="12">
        <v>173.88</v>
      </c>
      <c r="E824" s="1">
        <v>14</v>
      </c>
      <c r="F824" s="13">
        <f>InputData[[#This Row],[QUANTITY]]*InputData[[#This Row],[UNIT PRICE (R)]]</f>
        <v>2434.3199999999997</v>
      </c>
      <c r="G824" s="1" t="str">
        <f>VLOOKUP(InputData[[#This Row],[CUSTOMER NAME]],Country[],2,0)</f>
        <v>Ethiopia</v>
      </c>
      <c r="H824" s="1" t="str">
        <f>VLOOKUP(InputData[[#This Row],[CUSTOMER NAME]],Country[],3,0)</f>
        <v>Export</v>
      </c>
      <c r="I824" s="1" t="str">
        <f>TEXT(InputData[[#This Row],[DATE]],"mmmm")</f>
        <v>December</v>
      </c>
      <c r="J824" s="1" t="str">
        <f>TEXT(InputData[[#This Row],[DATE]],"ddd")</f>
        <v>Sun</v>
      </c>
      <c r="K824" s="14">
        <f>WEEKNUM(InputData[[#This Row],[DATE]])</f>
        <v>53</v>
      </c>
      <c r="N824"/>
      <c r="R824" s="3" t="s">
        <v>52</v>
      </c>
      <c r="S824" s="1" t="str">
        <f t="shared" si="24"/>
        <v>Harrow Distribution</v>
      </c>
      <c r="V824"/>
      <c r="Z824" s="11" t="s">
        <v>40</v>
      </c>
      <c r="AA824" s="1" t="str">
        <f t="shared" si="25"/>
        <v>Conduit Clamp 25mm</v>
      </c>
      <c r="AF824"/>
    </row>
    <row r="825" spans="1:32" x14ac:dyDescent="0.3">
      <c r="A825" s="10">
        <v>44556</v>
      </c>
      <c r="B825" s="3" t="s">
        <v>180</v>
      </c>
      <c r="C825" s="11" t="s">
        <v>265</v>
      </c>
      <c r="D825" s="12">
        <v>85.76</v>
      </c>
      <c r="E825" s="1">
        <v>36</v>
      </c>
      <c r="F825" s="13">
        <f>InputData[[#This Row],[QUANTITY]]*InputData[[#This Row],[UNIT PRICE (R)]]</f>
        <v>3087.36</v>
      </c>
      <c r="G825" s="1" t="str">
        <f>VLOOKUP(InputData[[#This Row],[CUSTOMER NAME]],Country[],2,0)</f>
        <v>India</v>
      </c>
      <c r="H825" s="1" t="str">
        <f>VLOOKUP(InputData[[#This Row],[CUSTOMER NAME]],Country[],3,0)</f>
        <v>Northeast</v>
      </c>
      <c r="I825" s="1" t="str">
        <f>TEXT(InputData[[#This Row],[DATE]],"mmmm")</f>
        <v>December</v>
      </c>
      <c r="J825" s="1" t="str">
        <f>TEXT(InputData[[#This Row],[DATE]],"ddd")</f>
        <v>Sun</v>
      </c>
      <c r="K825" s="14">
        <f>WEEKNUM(InputData[[#This Row],[DATE]])</f>
        <v>53</v>
      </c>
      <c r="N825"/>
      <c r="R825" s="3" t="s">
        <v>72</v>
      </c>
      <c r="S825" s="1" t="str">
        <f t="shared" si="24"/>
        <v>Hendricks Mercantile</v>
      </c>
      <c r="V825"/>
      <c r="Z825" s="11" t="s">
        <v>41</v>
      </c>
      <c r="AA825" s="1" t="str">
        <f t="shared" si="25"/>
        <v>PVC Elbow 20mm</v>
      </c>
      <c r="AF825"/>
    </row>
    <row r="826" spans="1:32" x14ac:dyDescent="0.3">
      <c r="A826" s="10">
        <v>44557</v>
      </c>
      <c r="B826" s="3" t="s">
        <v>180</v>
      </c>
      <c r="C826" s="11" t="s">
        <v>238</v>
      </c>
      <c r="D826" s="12">
        <v>164.28</v>
      </c>
      <c r="E826" s="1">
        <v>26</v>
      </c>
      <c r="F826" s="13">
        <f>InputData[[#This Row],[QUANTITY]]*InputData[[#This Row],[UNIT PRICE (R)]]</f>
        <v>4271.28</v>
      </c>
      <c r="G826" s="1" t="str">
        <f>VLOOKUP(InputData[[#This Row],[CUSTOMER NAME]],Country[],2,0)</f>
        <v>India</v>
      </c>
      <c r="H826" s="1" t="str">
        <f>VLOOKUP(InputData[[#This Row],[CUSTOMER NAME]],Country[],3,0)</f>
        <v>Northeast</v>
      </c>
      <c r="I826" s="1" t="str">
        <f>TEXT(InputData[[#This Row],[DATE]],"mmmm")</f>
        <v>December</v>
      </c>
      <c r="J826" s="1" t="str">
        <f>TEXT(InputData[[#This Row],[DATE]],"ddd")</f>
        <v>Mon</v>
      </c>
      <c r="K826" s="14">
        <f>WEEKNUM(InputData[[#This Row],[DATE]])</f>
        <v>53</v>
      </c>
      <c r="N826"/>
      <c r="R826" s="3" t="s">
        <v>102</v>
      </c>
      <c r="S826" s="1" t="str">
        <f t="shared" si="24"/>
        <v>Kingsmead Distribution</v>
      </c>
      <c r="V826"/>
      <c r="Z826" s="11" t="s">
        <v>37</v>
      </c>
      <c r="AA826" s="1" t="str">
        <f t="shared" si="25"/>
        <v>Turnbuckle Hook M6</v>
      </c>
      <c r="AF826"/>
    </row>
    <row r="827" spans="1:32" x14ac:dyDescent="0.3">
      <c r="A827" s="10">
        <v>44557</v>
      </c>
      <c r="B827" s="3" t="s">
        <v>182</v>
      </c>
      <c r="C827" s="11" t="s">
        <v>257</v>
      </c>
      <c r="D827" s="12">
        <v>53.11</v>
      </c>
      <c r="E827" s="1">
        <v>14</v>
      </c>
      <c r="F827" s="13">
        <f>InputData[[#This Row],[QUANTITY]]*InputData[[#This Row],[UNIT PRICE (R)]]</f>
        <v>743.54</v>
      </c>
      <c r="G827" s="1" t="str">
        <f>VLOOKUP(InputData[[#This Row],[CUSTOMER NAME]],Country[],2,0)</f>
        <v>United States of America</v>
      </c>
      <c r="H827" s="1" t="str">
        <f>VLOOKUP(InputData[[#This Row],[CUSTOMER NAME]],Country[],3,0)</f>
        <v>Export</v>
      </c>
      <c r="I827" s="1" t="str">
        <f>TEXT(InputData[[#This Row],[DATE]],"mmmm")</f>
        <v>December</v>
      </c>
      <c r="J827" s="1" t="str">
        <f>TEXT(InputData[[#This Row],[DATE]],"ddd")</f>
        <v>Mon</v>
      </c>
      <c r="K827" s="14">
        <f>WEEKNUM(InputData[[#This Row],[DATE]])</f>
        <v>53</v>
      </c>
      <c r="N827"/>
      <c r="R827" s="3" t="s">
        <v>102</v>
      </c>
      <c r="S827" s="1" t="str">
        <f t="shared" si="24"/>
        <v>Kingsmead Distribution</v>
      </c>
      <c r="V827"/>
      <c r="Z827" s="11" t="s">
        <v>10</v>
      </c>
      <c r="AA827" s="1" t="str">
        <f t="shared" si="25"/>
        <v>Self-Tapping Screw 25mm</v>
      </c>
      <c r="AF827"/>
    </row>
    <row r="828" spans="1:32" x14ac:dyDescent="0.3">
      <c r="A828" s="10">
        <v>44558</v>
      </c>
      <c r="B828" s="3" t="s">
        <v>176</v>
      </c>
      <c r="C828" s="11" t="s">
        <v>257</v>
      </c>
      <c r="D828" s="12">
        <v>53.11</v>
      </c>
      <c r="E828" s="1">
        <v>6</v>
      </c>
      <c r="F828" s="13">
        <f>InputData[[#This Row],[QUANTITY]]*InputData[[#This Row],[UNIT PRICE (R)]]</f>
        <v>318.65999999999997</v>
      </c>
      <c r="G828" s="1" t="str">
        <f>VLOOKUP(InputData[[#This Row],[CUSTOMER NAME]],Country[],2,0)</f>
        <v>India</v>
      </c>
      <c r="H828" s="1" t="str">
        <f>VLOOKUP(InputData[[#This Row],[CUSTOMER NAME]],Country[],3,0)</f>
        <v>Northeast</v>
      </c>
      <c r="I828" s="1" t="str">
        <f>TEXT(InputData[[#This Row],[DATE]],"mmmm")</f>
        <v>December</v>
      </c>
      <c r="J828" s="1" t="str">
        <f>TEXT(InputData[[#This Row],[DATE]],"ddd")</f>
        <v>Tue</v>
      </c>
      <c r="K828" s="14">
        <f>WEEKNUM(InputData[[#This Row],[DATE]])</f>
        <v>53</v>
      </c>
      <c r="N828"/>
      <c r="R828" s="3" t="s">
        <v>104</v>
      </c>
      <c r="S828" s="1" t="str">
        <f t="shared" si="24"/>
        <v>Radcliffe Mercantile</v>
      </c>
      <c r="V828"/>
      <c r="Z828" s="11" t="s">
        <v>29</v>
      </c>
      <c r="AA828" s="1" t="str">
        <f t="shared" si="25"/>
        <v>Butt Hinge 100mm</v>
      </c>
      <c r="AF828"/>
    </row>
    <row r="829" spans="1:32" x14ac:dyDescent="0.3">
      <c r="A829" s="10">
        <v>44559</v>
      </c>
      <c r="B829" s="3" t="s">
        <v>173</v>
      </c>
      <c r="C829" s="11" t="s">
        <v>236</v>
      </c>
      <c r="D829" s="12">
        <v>94.62</v>
      </c>
      <c r="E829" s="1">
        <v>15</v>
      </c>
      <c r="F829" s="13">
        <f>InputData[[#This Row],[QUANTITY]]*InputData[[#This Row],[UNIT PRICE (R)]]</f>
        <v>1419.3000000000002</v>
      </c>
      <c r="G829" s="1" t="str">
        <f>VLOOKUP(InputData[[#This Row],[CUSTOMER NAME]],Country[],2,0)</f>
        <v>India</v>
      </c>
      <c r="H829" s="1" t="str">
        <f>VLOOKUP(InputData[[#This Row],[CUSTOMER NAME]],Country[],3,0)</f>
        <v>North</v>
      </c>
      <c r="I829" s="1" t="str">
        <f>TEXT(InputData[[#This Row],[DATE]],"mmmm")</f>
        <v>December</v>
      </c>
      <c r="J829" s="1" t="str">
        <f>TEXT(InputData[[#This Row],[DATE]],"ddd")</f>
        <v>Wed</v>
      </c>
      <c r="K829" s="14">
        <f>WEEKNUM(InputData[[#This Row],[DATE]])</f>
        <v>53</v>
      </c>
      <c r="N829"/>
      <c r="R829" s="3" t="s">
        <v>98</v>
      </c>
      <c r="S829" s="1" t="str">
        <f t="shared" si="24"/>
        <v>Alderman Retail Group</v>
      </c>
      <c r="V829"/>
      <c r="Z829" s="11" t="s">
        <v>29</v>
      </c>
      <c r="AA829" s="1" t="str">
        <f t="shared" si="25"/>
        <v>Butt Hinge 100mm</v>
      </c>
      <c r="AF829"/>
    </row>
    <row r="830" spans="1:32" x14ac:dyDescent="0.3">
      <c r="A830" s="10">
        <v>44559</v>
      </c>
      <c r="B830" s="3" t="s">
        <v>144</v>
      </c>
      <c r="C830" s="11" t="s">
        <v>234</v>
      </c>
      <c r="D830" s="12">
        <v>85.5</v>
      </c>
      <c r="E830" s="1">
        <v>26</v>
      </c>
      <c r="F830" s="13">
        <f>InputData[[#This Row],[QUANTITY]]*InputData[[#This Row],[UNIT PRICE (R)]]</f>
        <v>2223</v>
      </c>
      <c r="G830" s="1" t="str">
        <f>VLOOKUP(InputData[[#This Row],[CUSTOMER NAME]],Country[],2,0)</f>
        <v>Bangladesh</v>
      </c>
      <c r="H830" s="1" t="str">
        <f>VLOOKUP(InputData[[#This Row],[CUSTOMER NAME]],Country[],3,0)</f>
        <v>Export</v>
      </c>
      <c r="I830" s="1" t="str">
        <f>TEXT(InputData[[#This Row],[DATE]],"mmmm")</f>
        <v>December</v>
      </c>
      <c r="J830" s="1" t="str">
        <f>TEXT(InputData[[#This Row],[DATE]],"ddd")</f>
        <v>Wed</v>
      </c>
      <c r="K830" s="14">
        <f>WEEKNUM(InputData[[#This Row],[DATE]])</f>
        <v>53</v>
      </c>
      <c r="N830"/>
      <c r="R830" s="3" t="s">
        <v>95</v>
      </c>
      <c r="S830" s="1" t="str">
        <f t="shared" si="24"/>
        <v>Cobalt Point Supplies</v>
      </c>
      <c r="V830"/>
      <c r="Z830" s="11" t="s">
        <v>8</v>
      </c>
      <c r="AA830" s="1" t="str">
        <f t="shared" si="25"/>
        <v>Flat Washer M10</v>
      </c>
      <c r="AF830"/>
    </row>
    <row r="831" spans="1:32" x14ac:dyDescent="0.3">
      <c r="A831" s="10">
        <v>44559</v>
      </c>
      <c r="B831" s="3" t="s">
        <v>178</v>
      </c>
      <c r="C831" s="11" t="s">
        <v>270</v>
      </c>
      <c r="D831" s="12">
        <v>162</v>
      </c>
      <c r="E831" s="1">
        <v>1</v>
      </c>
      <c r="F831" s="13">
        <f>InputData[[#This Row],[QUANTITY]]*InputData[[#This Row],[UNIT PRICE (R)]]</f>
        <v>162</v>
      </c>
      <c r="G831" s="1" t="str">
        <f>VLOOKUP(InputData[[#This Row],[CUSTOMER NAME]],Country[],2,0)</f>
        <v>Pakistan</v>
      </c>
      <c r="H831" s="1" t="str">
        <f>VLOOKUP(InputData[[#This Row],[CUSTOMER NAME]],Country[],3,0)</f>
        <v>Export</v>
      </c>
      <c r="I831" s="1" t="str">
        <f>TEXT(InputData[[#This Row],[DATE]],"mmmm")</f>
        <v>December</v>
      </c>
      <c r="J831" s="1" t="str">
        <f>TEXT(InputData[[#This Row],[DATE]],"ddd")</f>
        <v>Wed</v>
      </c>
      <c r="K831" s="14">
        <f>WEEKNUM(InputData[[#This Row],[DATE]])</f>
        <v>53</v>
      </c>
      <c r="N831"/>
      <c r="R831" s="3" t="s">
        <v>49</v>
      </c>
      <c r="S831" s="1" t="str">
        <f t="shared" si="24"/>
        <v>Baxter &amp; Kline Supplies</v>
      </c>
      <c r="V831"/>
      <c r="Z831" s="11" t="s">
        <v>6</v>
      </c>
      <c r="AA831" s="1" t="str">
        <f t="shared" si="25"/>
        <v>Flange Nut M10</v>
      </c>
      <c r="AF831"/>
    </row>
    <row r="832" spans="1:32" x14ac:dyDescent="0.3">
      <c r="A832" s="10">
        <v>44560</v>
      </c>
      <c r="B832" s="3" t="s">
        <v>173</v>
      </c>
      <c r="C832" s="11" t="s">
        <v>238</v>
      </c>
      <c r="D832" s="12">
        <v>164.28</v>
      </c>
      <c r="E832" s="1">
        <v>13</v>
      </c>
      <c r="F832" s="13">
        <f>InputData[[#This Row],[QUANTITY]]*InputData[[#This Row],[UNIT PRICE (R)]]</f>
        <v>2135.64</v>
      </c>
      <c r="G832" s="1" t="str">
        <f>VLOOKUP(InputData[[#This Row],[CUSTOMER NAME]],Country[],2,0)</f>
        <v>India</v>
      </c>
      <c r="H832" s="1" t="str">
        <f>VLOOKUP(InputData[[#This Row],[CUSTOMER NAME]],Country[],3,0)</f>
        <v>North</v>
      </c>
      <c r="I832" s="1" t="str">
        <f>TEXT(InputData[[#This Row],[DATE]],"mmmm")</f>
        <v>December</v>
      </c>
      <c r="J832" s="1" t="str">
        <f>TEXT(InputData[[#This Row],[DATE]],"ddd")</f>
        <v>Thu</v>
      </c>
      <c r="K832" s="14">
        <f>WEEKNUM(InputData[[#This Row],[DATE]])</f>
        <v>53</v>
      </c>
      <c r="N832"/>
      <c r="R832" s="3" t="s">
        <v>100</v>
      </c>
      <c r="S832" s="1" t="str">
        <f t="shared" si="24"/>
        <v>Pemberton &amp; Associates</v>
      </c>
      <c r="V832"/>
      <c r="Z832" s="11" t="s">
        <v>42</v>
      </c>
      <c r="AA832" s="1" t="str">
        <f t="shared" si="25"/>
        <v>PVC Coupling 25mm</v>
      </c>
      <c r="AF832"/>
    </row>
    <row r="833" spans="1:32" x14ac:dyDescent="0.3">
      <c r="A833" s="10">
        <v>44560</v>
      </c>
      <c r="B833" s="3" t="s">
        <v>175</v>
      </c>
      <c r="C833" s="11" t="s">
        <v>269</v>
      </c>
      <c r="D833" s="12">
        <v>173.88</v>
      </c>
      <c r="E833" s="1">
        <v>14</v>
      </c>
      <c r="F833" s="13">
        <f>InputData[[#This Row],[QUANTITY]]*InputData[[#This Row],[UNIT PRICE (R)]]</f>
        <v>2434.3199999999997</v>
      </c>
      <c r="G833" s="1" t="str">
        <f>VLOOKUP(InputData[[#This Row],[CUSTOMER NAME]],Country[],2,0)</f>
        <v>India</v>
      </c>
      <c r="H833" s="1" t="str">
        <f>VLOOKUP(InputData[[#This Row],[CUSTOMER NAME]],Country[],3,0)</f>
        <v>Western</v>
      </c>
      <c r="I833" s="1" t="str">
        <f>TEXT(InputData[[#This Row],[DATE]],"mmmm")</f>
        <v>December</v>
      </c>
      <c r="J833" s="1" t="str">
        <f>TEXT(InputData[[#This Row],[DATE]],"ddd")</f>
        <v>Thu</v>
      </c>
      <c r="K833" s="14">
        <f>WEEKNUM(InputData[[#This Row],[DATE]])</f>
        <v>53</v>
      </c>
      <c r="N833"/>
      <c r="R833" s="3" t="s">
        <v>95</v>
      </c>
      <c r="S833" s="1" t="str">
        <f t="shared" si="24"/>
        <v>Cobalt Point Supplies</v>
      </c>
      <c r="V833"/>
      <c r="Z833" s="11" t="s">
        <v>10</v>
      </c>
      <c r="AA833" s="1" t="str">
        <f t="shared" si="25"/>
        <v>Self-Tapping Screw 25mm</v>
      </c>
      <c r="AF833"/>
    </row>
    <row r="834" spans="1:32" x14ac:dyDescent="0.3">
      <c r="A834" s="10">
        <v>44560</v>
      </c>
      <c r="B834" s="3" t="s">
        <v>163</v>
      </c>
      <c r="C834" s="11" t="s">
        <v>258</v>
      </c>
      <c r="D834" s="12">
        <v>201.28</v>
      </c>
      <c r="E834" s="1">
        <v>31</v>
      </c>
      <c r="F834" s="13">
        <f>InputData[[#This Row],[QUANTITY]]*InputData[[#This Row],[UNIT PRICE (R)]]</f>
        <v>6239.68</v>
      </c>
      <c r="G834" s="1" t="str">
        <f>VLOOKUP(InputData[[#This Row],[CUSTOMER NAME]],Country[],2,0)</f>
        <v>South Africa</v>
      </c>
      <c r="H834" s="1" t="str">
        <f>VLOOKUP(InputData[[#This Row],[CUSTOMER NAME]],Country[],3,0)</f>
        <v>Export</v>
      </c>
      <c r="I834" s="1" t="str">
        <f>TEXT(InputData[[#This Row],[DATE]],"mmmm")</f>
        <v>December</v>
      </c>
      <c r="J834" s="1" t="str">
        <f>TEXT(InputData[[#This Row],[DATE]],"ddd")</f>
        <v>Thu</v>
      </c>
      <c r="K834" s="14">
        <f>WEEKNUM(InputData[[#This Row],[DATE]])</f>
        <v>53</v>
      </c>
      <c r="N834"/>
      <c r="R834" s="3" t="s">
        <v>97</v>
      </c>
      <c r="S834" s="1" t="str">
        <f t="shared" si="24"/>
        <v>Stonebridge Commercial</v>
      </c>
      <c r="V834"/>
      <c r="Z834" s="11" t="s">
        <v>41</v>
      </c>
      <c r="AA834" s="1" t="str">
        <f t="shared" si="25"/>
        <v>PVC Elbow 20mm</v>
      </c>
      <c r="AF834"/>
    </row>
    <row r="835" spans="1:32" x14ac:dyDescent="0.3">
      <c r="A835" s="10">
        <v>44561</v>
      </c>
      <c r="B835" s="3" t="s">
        <v>174</v>
      </c>
      <c r="C835" s="11" t="s">
        <v>239</v>
      </c>
      <c r="D835" s="12">
        <v>48.4</v>
      </c>
      <c r="E835" s="1">
        <v>6</v>
      </c>
      <c r="F835" s="13">
        <f>InputData[[#This Row],[QUANTITY]]*InputData[[#This Row],[UNIT PRICE (R)]]</f>
        <v>290.39999999999998</v>
      </c>
      <c r="G835" s="1" t="str">
        <f>VLOOKUP(InputData[[#This Row],[CUSTOMER NAME]],Country[],2,0)</f>
        <v>Pakistan</v>
      </c>
      <c r="H835" s="1" t="str">
        <f>VLOOKUP(InputData[[#This Row],[CUSTOMER NAME]],Country[],3,0)</f>
        <v>Export</v>
      </c>
      <c r="I835" s="1" t="str">
        <f>TEXT(InputData[[#This Row],[DATE]],"mmmm")</f>
        <v>December</v>
      </c>
      <c r="J835" s="1" t="str">
        <f>TEXT(InputData[[#This Row],[DATE]],"ddd")</f>
        <v>Fri</v>
      </c>
      <c r="K835" s="14">
        <f>WEEKNUM(InputData[[#This Row],[DATE]])</f>
        <v>53</v>
      </c>
      <c r="N835"/>
      <c r="R835" s="3" t="s">
        <v>68</v>
      </c>
      <c r="S835" s="1" t="str">
        <f t="shared" si="24"/>
        <v>Delacroix Wholesale</v>
      </c>
      <c r="V835"/>
      <c r="Z835" s="11" t="s">
        <v>30</v>
      </c>
      <c r="AA835" s="1" t="str">
        <f t="shared" si="25"/>
        <v>Door Latch Set</v>
      </c>
      <c r="AF835"/>
    </row>
    <row r="836" spans="1:32" ht="15" thickBot="1" x14ac:dyDescent="0.35">
      <c r="A836" s="10">
        <v>44561</v>
      </c>
      <c r="B836" s="3" t="s">
        <v>160</v>
      </c>
      <c r="C836" s="11" t="s">
        <v>261</v>
      </c>
      <c r="D836" s="12">
        <v>119.7</v>
      </c>
      <c r="E836" s="1">
        <v>12</v>
      </c>
      <c r="F836" s="13">
        <f>InputData[[#This Row],[QUANTITY]]*InputData[[#This Row],[UNIT PRICE (R)]]</f>
        <v>1436.4</v>
      </c>
      <c r="G836" s="1" t="str">
        <f>VLOOKUP(InputData[[#This Row],[CUSTOMER NAME]],Country[],2,0)</f>
        <v>India</v>
      </c>
      <c r="H836" s="1" t="str">
        <f>VLOOKUP(InputData[[#This Row],[CUSTOMER NAME]],Country[],3,0)</f>
        <v>Western</v>
      </c>
      <c r="I836" s="1" t="str">
        <f>TEXT(InputData[[#This Row],[DATE]],"mmmm")</f>
        <v>December</v>
      </c>
      <c r="J836" s="1" t="str">
        <f>TEXT(InputData[[#This Row],[DATE]],"ddd")</f>
        <v>Fri</v>
      </c>
      <c r="K836" s="14">
        <f>WEEKNUM(InputData[[#This Row],[DATE]])</f>
        <v>53</v>
      </c>
      <c r="N836"/>
      <c r="R836" s="3" t="s">
        <v>96</v>
      </c>
      <c r="S836" s="1" t="str">
        <f t="shared" si="24"/>
        <v>Draycott Wholesalers</v>
      </c>
      <c r="V836"/>
      <c r="Z836" s="11" t="s">
        <v>11</v>
      </c>
      <c r="AA836" s="1" t="str">
        <f t="shared" si="25"/>
        <v>Wood Screw 40mm</v>
      </c>
      <c r="AF836"/>
    </row>
    <row r="837" spans="1:32" x14ac:dyDescent="0.3">
      <c r="A837" s="15" t="s">
        <v>135</v>
      </c>
      <c r="B837" s="15"/>
      <c r="C837" s="16"/>
      <c r="D837" s="17">
        <f>SUBTOTAL(101,InputData[UNIT PRICE (R)])</f>
        <v>93.270745192307814</v>
      </c>
      <c r="E837" s="15">
        <f>SUBTOTAL(109,InputData[QUANTITY])</f>
        <v>10496</v>
      </c>
      <c r="F837" s="18">
        <f>SUBTOTAL(101,InputData[Actual SALE])</f>
        <v>1183.3786778846145</v>
      </c>
      <c r="G837" s="15"/>
      <c r="H837" s="15"/>
      <c r="I837" s="15"/>
      <c r="J837" s="15"/>
      <c r="K837" s="19">
        <f>SUBTOTAL(101,InputData[Week])</f>
        <v>26.38221153846154</v>
      </c>
      <c r="R837" s="3" t="s">
        <v>65</v>
      </c>
      <c r="S837" s="1" t="str">
        <f t="shared" si="24"/>
        <v>Talbot Street Merchants</v>
      </c>
      <c r="Z837" s="11" t="s">
        <v>33</v>
      </c>
      <c r="AA837" s="1" t="str">
        <f t="shared" si="25"/>
        <v>Shelf Bracket 200mm</v>
      </c>
    </row>
  </sheetData>
  <sheetProtection algorithmName="SHA-512" hashValue="3dTzu04ecVWzel43rMamr6UaTp7MWgbHggC4rCq47fAIZTQrVnMVF5vONWy8q3sruRNTKGfVwitKdgwxAPjCig==" saltValue="bldhlbahPy0lXBgdwMZpNw==" spinCount="100000" sheet="1" objects="1" scenarios="1" sort="0" autoFilter="0"/>
  <sortState xmlns:xlrd2="http://schemas.microsoft.com/office/spreadsheetml/2017/richdata2" ref="V5:V836">
    <sortCondition ref="V5:V836"/>
  </sortState>
  <mergeCells count="1">
    <mergeCell ref="A1:K2"/>
  </mergeCells>
  <phoneticPr fontId="2" type="noConversion"/>
  <dataValidations count="1">
    <dataValidation type="whole" allowBlank="1" showInputMessage="1" showErrorMessage="1" sqref="E5:E836" xr:uid="{74FC4239-C815-4304-B7C1-8D0942A55F70}">
      <formula1>1</formula1>
      <formula2>1000</formula2>
    </dataValidation>
  </dataValidations>
  <pageMargins left="0.7" right="0.7" top="0.75" bottom="0.75" header="0.3" footer="0.3"/>
  <pageSetup orientation="portrait" horizontalDpi="300" verticalDpi="300"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5D2F-C095-4158-8A25-0AD1231D3944}">
  <sheetPr codeName="Sheet2"/>
  <dimension ref="B2:K16"/>
  <sheetViews>
    <sheetView workbookViewId="0">
      <selection activeCell="O13" sqref="O13"/>
    </sheetView>
  </sheetViews>
  <sheetFormatPr defaultRowHeight="14.4" x14ac:dyDescent="0.3"/>
  <cols>
    <col min="1" max="1" width="1.44140625" customWidth="1"/>
    <col min="2" max="2" width="11.21875" bestFit="1" customWidth="1"/>
    <col min="3" max="3" width="16.6640625" customWidth="1"/>
    <col min="4" max="4" width="14" bestFit="1" customWidth="1"/>
    <col min="5" max="5" width="12.44140625" bestFit="1" customWidth="1"/>
    <col min="6" max="6" width="16.33203125" bestFit="1" customWidth="1"/>
    <col min="7" max="7" width="14" bestFit="1" customWidth="1"/>
    <col min="8" max="8" width="11.44140625" bestFit="1" customWidth="1"/>
    <col min="10" max="10" width="28.33203125" bestFit="1" customWidth="1"/>
    <col min="11" max="11" width="17.44140625" bestFit="1" customWidth="1"/>
  </cols>
  <sheetData>
    <row r="2" spans="2:11" ht="15" thickBot="1" x14ac:dyDescent="0.35"/>
    <row r="3" spans="2:11" ht="15" thickBot="1" x14ac:dyDescent="0.35">
      <c r="B3" s="49" t="s">
        <v>106</v>
      </c>
      <c r="C3" s="50" t="s">
        <v>105</v>
      </c>
      <c r="D3" s="50" t="s">
        <v>304</v>
      </c>
      <c r="E3" s="50" t="s">
        <v>136</v>
      </c>
      <c r="F3" s="50" t="s">
        <v>137</v>
      </c>
      <c r="G3" s="47" t="s">
        <v>138</v>
      </c>
      <c r="H3" s="51" t="s">
        <v>279</v>
      </c>
      <c r="J3" s="68" t="s">
        <v>277</v>
      </c>
      <c r="K3" s="69"/>
    </row>
    <row r="4" spans="2:11" x14ac:dyDescent="0.3">
      <c r="B4" s="52">
        <v>1</v>
      </c>
      <c r="C4" s="53" t="s">
        <v>123</v>
      </c>
      <c r="D4" s="54">
        <v>90000</v>
      </c>
      <c r="E4" s="7">
        <f>VLOOKUP(TargetData[[#This Row],[Month Name]],Pivots!$D$5:$E$16,2,0)</f>
        <v>92118.789999999964</v>
      </c>
      <c r="F4" s="7" t="str">
        <f>IF(TargetData[[#This Row],[Actual]]&lt;TargetData[[#This Row],[Target]],E4,"Above Target")</f>
        <v>Above Target</v>
      </c>
      <c r="G4" s="7">
        <f>IF(TargetData[[#This Row],[Actual]]&gt;TargetData[[#This Row],[Target]],TargetData[[#This Row],[Actual]],"Below Target")</f>
        <v>92118.789999999964</v>
      </c>
      <c r="H4" s="55">
        <f>TargetData[[#This Row],[Target]]-TargetData[[#This Row],[Actual]]</f>
        <v>-2118.7899999999645</v>
      </c>
      <c r="J4" s="35" t="s">
        <v>278</v>
      </c>
      <c r="K4" s="36">
        <f>(TargetData[[#Totals],[Target]]-TargetData[[#Totals],[Actual]])/TargetData[[#Totals],[Target]]</f>
        <v>8.836012962962958E-2</v>
      </c>
    </row>
    <row r="5" spans="2:11" x14ac:dyDescent="0.3">
      <c r="B5" s="52">
        <v>2</v>
      </c>
      <c r="C5" s="53" t="s">
        <v>124</v>
      </c>
      <c r="D5" s="54">
        <v>100000</v>
      </c>
      <c r="E5" s="7">
        <f>VLOOKUP(TargetData[[#This Row],[Month Name]],Pivots!$D$5:$E$16,2,0)</f>
        <v>91137.049999999988</v>
      </c>
      <c r="F5" s="7">
        <f>IF(TargetData[[#This Row],[Actual]]&lt;TargetData[[#This Row],[Target]],E5,"Above Target")</f>
        <v>91137.049999999988</v>
      </c>
      <c r="G5" s="7" t="str">
        <f>IF(TargetData[[#This Row],[Actual]]&gt;TargetData[[#This Row],[Target]],TargetData[[#This Row],[Actual]],"Below Target")</f>
        <v>Below Target</v>
      </c>
      <c r="H5" s="55">
        <f>TargetData[[#This Row],[Target]]-TargetData[[#This Row],[Actual]]</f>
        <v>8862.9500000000116</v>
      </c>
      <c r="J5" s="35" t="s">
        <v>279</v>
      </c>
      <c r="K5" s="37">
        <f>TargetData[[#Totals],[Target]]-TargetData[[#Totals],[Actual]]</f>
        <v>95428.939999999944</v>
      </c>
    </row>
    <row r="6" spans="2:11" x14ac:dyDescent="0.3">
      <c r="B6" s="52">
        <v>3</v>
      </c>
      <c r="C6" s="53" t="s">
        <v>125</v>
      </c>
      <c r="D6" s="54">
        <v>100000</v>
      </c>
      <c r="E6" s="7">
        <f>VLOOKUP(TargetData[[#This Row],[Month Name]],Pivots!$D$5:$E$16,2,0)</f>
        <v>97920.72</v>
      </c>
      <c r="F6" s="7">
        <f>IF(TargetData[[#This Row],[Actual]]&lt;TargetData[[#This Row],[Target]],E6,"Above Target")</f>
        <v>97920.72</v>
      </c>
      <c r="G6" s="7" t="str">
        <f>IF(TargetData[[#This Row],[Actual]]&gt;TargetData[[#This Row],[Target]],TargetData[[#This Row],[Actual]],"Below Target")</f>
        <v>Below Target</v>
      </c>
      <c r="H6" s="55">
        <f>TargetData[[#This Row],[Target]]-TargetData[[#This Row],[Actual]]</f>
        <v>2079.2799999999988</v>
      </c>
      <c r="J6" s="66" t="s">
        <v>280</v>
      </c>
      <c r="K6" s="67"/>
    </row>
    <row r="7" spans="2:11" x14ac:dyDescent="0.3">
      <c r="B7" s="52">
        <v>4</v>
      </c>
      <c r="C7" s="53" t="s">
        <v>126</v>
      </c>
      <c r="D7" s="54">
        <v>100000</v>
      </c>
      <c r="E7" s="7">
        <f>VLOOKUP(TargetData[[#This Row],[Month Name]],Pivots!$D$5:$E$16,2,0)</f>
        <v>72320.89</v>
      </c>
      <c r="F7" s="7">
        <f>IF(TargetData[[#This Row],[Actual]]&lt;TargetData[[#This Row],[Target]],E7,"Above Target")</f>
        <v>72320.89</v>
      </c>
      <c r="G7" s="7" t="str">
        <f>IF(TargetData[[#This Row],[Actual]]&gt;TargetData[[#This Row],[Target]],TargetData[[#This Row],[Actual]],"Below Target")</f>
        <v>Below Target</v>
      </c>
      <c r="H7" s="55">
        <f>TargetData[[#This Row],[Target]]-TargetData[[#This Row],[Actual]]</f>
        <v>27679.11</v>
      </c>
      <c r="J7" s="35" t="s">
        <v>126</v>
      </c>
      <c r="K7" s="38">
        <v>27679.11</v>
      </c>
    </row>
    <row r="8" spans="2:11" x14ac:dyDescent="0.3">
      <c r="B8" s="52">
        <v>5</v>
      </c>
      <c r="C8" s="53" t="s">
        <v>47</v>
      </c>
      <c r="D8" s="54">
        <v>90000</v>
      </c>
      <c r="E8" s="7">
        <f>VLOOKUP(TargetData[[#This Row],[Month Name]],Pivots!$D$5:$E$16,2,0)</f>
        <v>70511.75999999998</v>
      </c>
      <c r="F8" s="7">
        <f>IF(TargetData[[#This Row],[Actual]]&lt;TargetData[[#This Row],[Target]],E8,"Above Target")</f>
        <v>70511.75999999998</v>
      </c>
      <c r="G8" s="7" t="str">
        <f>IF(TargetData[[#This Row],[Actual]]&gt;TargetData[[#This Row],[Target]],TargetData[[#This Row],[Actual]],"Below Target")</f>
        <v>Below Target</v>
      </c>
      <c r="H8" s="55">
        <f>TargetData[[#This Row],[Target]]-TargetData[[#This Row],[Actual]]</f>
        <v>19488.24000000002</v>
      </c>
      <c r="J8" s="35" t="s">
        <v>127</v>
      </c>
      <c r="K8" s="38">
        <v>23272.600000000006</v>
      </c>
    </row>
    <row r="9" spans="2:11" ht="15" thickBot="1" x14ac:dyDescent="0.35">
      <c r="B9" s="52">
        <v>6</v>
      </c>
      <c r="C9" s="53" t="s">
        <v>127</v>
      </c>
      <c r="D9" s="54">
        <v>90000</v>
      </c>
      <c r="E9" s="7">
        <f>VLOOKUP(TargetData[[#This Row],[Month Name]],Pivots!$D$5:$E$16,2,0)</f>
        <v>66727.399999999994</v>
      </c>
      <c r="F9" s="7">
        <f>IF(TargetData[[#This Row],[Actual]]&lt;TargetData[[#This Row],[Target]],E9,"Above Target")</f>
        <v>66727.399999999994</v>
      </c>
      <c r="G9" s="7" t="str">
        <f>IF(TargetData[[#This Row],[Actual]]&gt;TargetData[[#This Row],[Target]],TargetData[[#This Row],[Actual]],"Below Target")</f>
        <v>Below Target</v>
      </c>
      <c r="H9" s="55">
        <f>TargetData[[#This Row],[Target]]-TargetData[[#This Row],[Actual]]</f>
        <v>23272.600000000006</v>
      </c>
      <c r="J9" s="39" t="s">
        <v>129</v>
      </c>
      <c r="K9" s="40">
        <v>20874.250000000015</v>
      </c>
    </row>
    <row r="10" spans="2:11" x14ac:dyDescent="0.3">
      <c r="B10" s="52">
        <v>7</v>
      </c>
      <c r="C10" s="53" t="s">
        <v>128</v>
      </c>
      <c r="D10" s="54">
        <v>90000</v>
      </c>
      <c r="E10" s="7">
        <f>VLOOKUP(TargetData[[#This Row],[Month Name]],Pivots!$D$5:$E$16,2,0)</f>
        <v>92661.550000000017</v>
      </c>
      <c r="F10" s="7" t="str">
        <f>IF(TargetData[[#This Row],[Actual]]&lt;TargetData[[#This Row],[Target]],E10,"Above Target")</f>
        <v>Above Target</v>
      </c>
      <c r="G10" s="7">
        <f>IF(TargetData[[#This Row],[Actual]]&gt;TargetData[[#This Row],[Target]],TargetData[[#This Row],[Actual]],"Below Target")</f>
        <v>92661.550000000017</v>
      </c>
      <c r="H10" s="55">
        <f>TargetData[[#This Row],[Target]]-TargetData[[#This Row],[Actual]]</f>
        <v>-2661.5500000000175</v>
      </c>
      <c r="K10" s="34"/>
    </row>
    <row r="11" spans="2:11" x14ac:dyDescent="0.3">
      <c r="B11" s="52">
        <v>8</v>
      </c>
      <c r="C11" s="53" t="s">
        <v>129</v>
      </c>
      <c r="D11" s="54">
        <v>90000</v>
      </c>
      <c r="E11" s="7">
        <f>VLOOKUP(TargetData[[#This Row],[Month Name]],Pivots!$D$5:$E$16,2,0)</f>
        <v>69125.749999999985</v>
      </c>
      <c r="F11" s="7">
        <f>IF(TargetData[[#This Row],[Actual]]&lt;TargetData[[#This Row],[Target]],E11,"Above Target")</f>
        <v>69125.749999999985</v>
      </c>
      <c r="G11" s="7" t="str">
        <f>IF(TargetData[[#This Row],[Actual]]&gt;TargetData[[#This Row],[Target]],TargetData[[#This Row],[Actual]],"Below Target")</f>
        <v>Below Target</v>
      </c>
      <c r="H11" s="55">
        <f>TargetData[[#This Row],[Target]]-TargetData[[#This Row],[Actual]]</f>
        <v>20874.250000000015</v>
      </c>
      <c r="K11" s="34"/>
    </row>
    <row r="12" spans="2:11" x14ac:dyDescent="0.3">
      <c r="B12" s="52">
        <v>9</v>
      </c>
      <c r="C12" s="53" t="s">
        <v>130</v>
      </c>
      <c r="D12" s="54">
        <v>90000</v>
      </c>
      <c r="E12" s="7">
        <f>VLOOKUP(TargetData[[#This Row],[Month Name]],Pivots!$D$5:$E$16,2,0)</f>
        <v>78253.529999999984</v>
      </c>
      <c r="F12" s="7">
        <f>IF(TargetData[[#This Row],[Actual]]&lt;TargetData[[#This Row],[Target]],E12,"Above Target")</f>
        <v>78253.529999999984</v>
      </c>
      <c r="G12" s="7" t="str">
        <f>IF(TargetData[[#This Row],[Actual]]&gt;TargetData[[#This Row],[Target]],TargetData[[#This Row],[Actual]],"Below Target")</f>
        <v>Below Target</v>
      </c>
      <c r="H12" s="55">
        <f>TargetData[[#This Row],[Target]]-TargetData[[#This Row],[Actual]]</f>
        <v>11746.470000000016</v>
      </c>
      <c r="K12" s="34"/>
    </row>
    <row r="13" spans="2:11" x14ac:dyDescent="0.3">
      <c r="B13" s="52">
        <v>10</v>
      </c>
      <c r="C13" s="53" t="s">
        <v>131</v>
      </c>
      <c r="D13" s="54">
        <v>80000</v>
      </c>
      <c r="E13" s="7">
        <f>VLOOKUP(TargetData[[#This Row],[Month Name]],Pivots!$D$5:$E$16,2,0)</f>
        <v>87136.37</v>
      </c>
      <c r="F13" s="7" t="str">
        <f>IF(TargetData[[#This Row],[Actual]]&lt;TargetData[[#This Row],[Target]],E13,"Above Target")</f>
        <v>Above Target</v>
      </c>
      <c r="G13" s="7">
        <f>IF(TargetData[[#This Row],[Actual]]&gt;TargetData[[#This Row],[Target]],TargetData[[#This Row],[Actual]],"Below Target")</f>
        <v>87136.37</v>
      </c>
      <c r="H13" s="55">
        <f>TargetData[[#This Row],[Target]]-TargetData[[#This Row],[Actual]]</f>
        <v>-7136.3699999999953</v>
      </c>
      <c r="K13" s="34"/>
    </row>
    <row r="14" spans="2:11" x14ac:dyDescent="0.3">
      <c r="B14" s="52">
        <v>11</v>
      </c>
      <c r="C14" s="53" t="s">
        <v>132</v>
      </c>
      <c r="D14" s="54">
        <v>80000</v>
      </c>
      <c r="E14" s="7">
        <f>VLOOKUP(TargetData[[#This Row],[Month Name]],Pivots!$D$5:$E$16,2,0)</f>
        <v>75659.86</v>
      </c>
      <c r="F14" s="7">
        <f>IF(TargetData[[#This Row],[Actual]]&lt;TargetData[[#This Row],[Target]],E14,"Above Target")</f>
        <v>75659.86</v>
      </c>
      <c r="G14" s="7" t="str">
        <f>IF(TargetData[[#This Row],[Actual]]&gt;TargetData[[#This Row],[Target]],TargetData[[#This Row],[Actual]],"Below Target")</f>
        <v>Below Target</v>
      </c>
      <c r="H14" s="55">
        <f>TargetData[[#This Row],[Target]]-TargetData[[#This Row],[Actual]]</f>
        <v>4340.1399999999994</v>
      </c>
      <c r="K14" s="34"/>
    </row>
    <row r="15" spans="2:11" ht="15" thickBot="1" x14ac:dyDescent="0.35">
      <c r="B15" s="56">
        <v>12</v>
      </c>
      <c r="C15" s="57" t="s">
        <v>133</v>
      </c>
      <c r="D15" s="58">
        <v>80000</v>
      </c>
      <c r="E15" s="59">
        <f>VLOOKUP(TargetData[[#This Row],[Month Name]],Pivots!$D$5:$E$16,2,0)</f>
        <v>90997.389999999985</v>
      </c>
      <c r="F15" s="59" t="str">
        <f>IF(TargetData[[#This Row],[Actual]]&lt;TargetData[[#This Row],[Target]],E15,"Above Target")</f>
        <v>Above Target</v>
      </c>
      <c r="G15" s="59">
        <f>IF(TargetData[[#This Row],[Actual]]&gt;TargetData[[#This Row],[Target]],TargetData[[#This Row],[Actual]],"Below Target")</f>
        <v>90997.389999999985</v>
      </c>
      <c r="H15" s="60">
        <f>TargetData[[#This Row],[Target]]-TargetData[[#This Row],[Actual]]</f>
        <v>-10997.389999999985</v>
      </c>
    </row>
    <row r="16" spans="2:11" ht="15" thickBot="1" x14ac:dyDescent="0.35">
      <c r="B16" s="41" t="s">
        <v>135</v>
      </c>
      <c r="C16" s="42"/>
      <c r="D16" s="43">
        <f>SUBTOTAL(109,TargetData[Target])</f>
        <v>1080000</v>
      </c>
      <c r="E16" s="43">
        <f>SUBTOTAL(109,TargetData[Actual])</f>
        <v>984571.06</v>
      </c>
      <c r="F16" s="44"/>
      <c r="G16" s="45"/>
      <c r="H16" s="48">
        <f>SUBTOTAL(109,TargetData[Shortfall])</f>
        <v>95428.940000000104</v>
      </c>
    </row>
  </sheetData>
  <sheetProtection algorithmName="SHA-512" hashValue="dv/b/PgBspmF5ELefT2o1ZXobnZ+Ky0pheBv9CRBkgmHD0unMDVCsOSSVY+CRbRzLaWUkEGOaE0J7mpGvpWoUw==" saltValue="JvcmAn2PbC8MESAToTonlg==" spinCount="100000" sheet="1" objects="1" scenarios="1"/>
  <sortState xmlns:xlrd2="http://schemas.microsoft.com/office/spreadsheetml/2017/richdata2" ref="K7:K14">
    <sortCondition descending="1" ref="K7:K14"/>
  </sortState>
  <mergeCells count="2">
    <mergeCell ref="J6:K6"/>
    <mergeCell ref="J3:K3"/>
  </mergeCells>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5D367-D79C-4451-978F-05F461B47906}">
  <dimension ref="A2:E29"/>
  <sheetViews>
    <sheetView workbookViewId="0">
      <selection activeCell="K5" sqref="K5"/>
    </sheetView>
  </sheetViews>
  <sheetFormatPr defaultRowHeight="14.4" x14ac:dyDescent="0.3"/>
  <cols>
    <col min="1" max="1" width="10.5546875" bestFit="1" customWidth="1"/>
    <col min="2" max="2" width="21.109375" bestFit="1" customWidth="1"/>
    <col min="3" max="3" width="22.21875" bestFit="1" customWidth="1"/>
  </cols>
  <sheetData>
    <row r="2" spans="1:5" ht="15" thickBot="1" x14ac:dyDescent="0.35"/>
    <row r="3" spans="1:5" ht="15" thickBot="1" x14ac:dyDescent="0.35">
      <c r="A3" s="71" t="s">
        <v>45</v>
      </c>
      <c r="B3" s="22" t="s">
        <v>115</v>
      </c>
      <c r="C3" s="22" t="s">
        <v>0</v>
      </c>
      <c r="D3" s="72" t="s">
        <v>116</v>
      </c>
      <c r="E3" s="22" t="s">
        <v>46</v>
      </c>
    </row>
    <row r="4" spans="1:5" x14ac:dyDescent="0.3">
      <c r="A4" s="73">
        <v>44197</v>
      </c>
      <c r="B4" s="3" t="s">
        <v>48</v>
      </c>
      <c r="C4" s="11" t="s">
        <v>1</v>
      </c>
      <c r="D4" s="12">
        <v>156.96</v>
      </c>
      <c r="E4" s="1">
        <v>9</v>
      </c>
    </row>
    <row r="5" spans="1:5" x14ac:dyDescent="0.3">
      <c r="A5" s="73">
        <v>44197</v>
      </c>
      <c r="B5" s="3" t="s">
        <v>49</v>
      </c>
      <c r="C5" s="11" t="s">
        <v>2</v>
      </c>
      <c r="D5" s="12">
        <v>141.57</v>
      </c>
      <c r="E5" s="1">
        <v>1</v>
      </c>
    </row>
    <row r="6" spans="1:5" x14ac:dyDescent="0.3">
      <c r="A6" s="73">
        <v>44198</v>
      </c>
      <c r="B6" s="3" t="s">
        <v>50</v>
      </c>
      <c r="C6" s="11" t="s">
        <v>3</v>
      </c>
      <c r="D6" s="12">
        <v>79.92</v>
      </c>
      <c r="E6" s="1">
        <v>15</v>
      </c>
    </row>
    <row r="7" spans="1:5" x14ac:dyDescent="0.3">
      <c r="A7" s="73">
        <v>44198</v>
      </c>
      <c r="B7" s="3" t="s">
        <v>51</v>
      </c>
      <c r="C7" s="11" t="s">
        <v>4</v>
      </c>
      <c r="D7" s="12">
        <v>119.7</v>
      </c>
      <c r="E7" s="1">
        <v>1</v>
      </c>
    </row>
    <row r="8" spans="1:5" x14ac:dyDescent="0.3">
      <c r="A8" s="73">
        <v>44198</v>
      </c>
      <c r="B8" s="3" t="s">
        <v>52</v>
      </c>
      <c r="C8" s="11" t="s">
        <v>5</v>
      </c>
      <c r="D8" s="12">
        <v>15.719999999999999</v>
      </c>
      <c r="E8" s="1">
        <v>2</v>
      </c>
    </row>
    <row r="9" spans="1:5" x14ac:dyDescent="0.3">
      <c r="A9" s="73">
        <v>44198</v>
      </c>
      <c r="B9" s="3" t="s">
        <v>53</v>
      </c>
      <c r="C9" s="11" t="s">
        <v>6</v>
      </c>
      <c r="D9" s="12">
        <v>164.28</v>
      </c>
      <c r="E9" s="1">
        <v>7</v>
      </c>
    </row>
    <row r="10" spans="1:5" x14ac:dyDescent="0.3">
      <c r="A10" s="73">
        <v>44198</v>
      </c>
      <c r="B10" s="3" t="s">
        <v>54</v>
      </c>
      <c r="C10" s="11" t="s">
        <v>7</v>
      </c>
      <c r="D10" s="12">
        <v>122.08</v>
      </c>
      <c r="E10" s="1">
        <v>6</v>
      </c>
    </row>
    <row r="11" spans="1:5" x14ac:dyDescent="0.3">
      <c r="A11" s="73">
        <v>44198</v>
      </c>
      <c r="B11" s="3" t="s">
        <v>55</v>
      </c>
      <c r="C11" s="11" t="s">
        <v>8</v>
      </c>
      <c r="D11" s="12">
        <v>15.719999999999999</v>
      </c>
      <c r="E11" s="1">
        <v>25</v>
      </c>
    </row>
    <row r="12" spans="1:5" x14ac:dyDescent="0.3">
      <c r="A12" s="73">
        <v>44199</v>
      </c>
      <c r="B12" s="3" t="s">
        <v>56</v>
      </c>
      <c r="C12" s="11" t="s">
        <v>9</v>
      </c>
      <c r="D12" s="12">
        <v>146.72</v>
      </c>
      <c r="E12" s="1">
        <v>21</v>
      </c>
    </row>
    <row r="13" spans="1:5" x14ac:dyDescent="0.3">
      <c r="A13" s="73">
        <v>44199</v>
      </c>
      <c r="B13" s="3" t="s">
        <v>57</v>
      </c>
      <c r="C13" s="11" t="s">
        <v>10</v>
      </c>
      <c r="D13" s="12">
        <v>83.08</v>
      </c>
      <c r="E13" s="1">
        <v>9</v>
      </c>
    </row>
    <row r="14" spans="1:5" x14ac:dyDescent="0.3">
      <c r="A14" s="73">
        <v>44199</v>
      </c>
      <c r="B14" s="3" t="s">
        <v>58</v>
      </c>
      <c r="C14" s="11" t="s">
        <v>11</v>
      </c>
      <c r="D14" s="12">
        <v>79.92</v>
      </c>
      <c r="E14" s="1">
        <v>31</v>
      </c>
    </row>
    <row r="15" spans="1:5" x14ac:dyDescent="0.3">
      <c r="A15" s="73">
        <v>44199</v>
      </c>
      <c r="B15" s="3" t="s">
        <v>59</v>
      </c>
      <c r="C15" s="11" t="s">
        <v>12</v>
      </c>
      <c r="D15" s="12">
        <v>48.84</v>
      </c>
      <c r="E15" s="1">
        <v>5</v>
      </c>
    </row>
    <row r="16" spans="1:5" x14ac:dyDescent="0.3">
      <c r="A16" s="73">
        <v>44200</v>
      </c>
      <c r="B16" s="3" t="s">
        <v>60</v>
      </c>
      <c r="C16" s="11" t="s">
        <v>13</v>
      </c>
      <c r="D16" s="12">
        <v>53.11</v>
      </c>
      <c r="E16" s="1">
        <v>1</v>
      </c>
    </row>
    <row r="17" spans="1:5" x14ac:dyDescent="0.3">
      <c r="A17" s="73">
        <v>44200</v>
      </c>
      <c r="B17" s="3" t="s">
        <v>61</v>
      </c>
      <c r="C17" s="11" t="s">
        <v>14</v>
      </c>
      <c r="D17" s="12">
        <v>94.17</v>
      </c>
      <c r="E17" s="1">
        <v>8</v>
      </c>
    </row>
    <row r="18" spans="1:5" x14ac:dyDescent="0.3">
      <c r="A18" s="73">
        <v>44200</v>
      </c>
      <c r="B18" s="3" t="s">
        <v>62</v>
      </c>
      <c r="C18" s="11" t="s">
        <v>15</v>
      </c>
      <c r="D18" s="12">
        <v>6.7</v>
      </c>
      <c r="E18" s="1">
        <v>12</v>
      </c>
    </row>
    <row r="19" spans="1:5" x14ac:dyDescent="0.3">
      <c r="A19" s="73">
        <v>44202</v>
      </c>
      <c r="B19" s="3" t="s">
        <v>63</v>
      </c>
      <c r="C19" s="11" t="s">
        <v>16</v>
      </c>
      <c r="D19" s="12">
        <v>117.48</v>
      </c>
      <c r="E19" s="1">
        <v>9</v>
      </c>
    </row>
    <row r="20" spans="1:5" x14ac:dyDescent="0.3">
      <c r="A20" s="73">
        <v>44204</v>
      </c>
      <c r="B20" s="3" t="s">
        <v>64</v>
      </c>
      <c r="C20" s="11" t="s">
        <v>17</v>
      </c>
      <c r="D20" s="12">
        <v>210</v>
      </c>
      <c r="E20" s="1">
        <v>14</v>
      </c>
    </row>
    <row r="21" spans="1:5" x14ac:dyDescent="0.3">
      <c r="A21" s="73">
        <v>44205</v>
      </c>
      <c r="B21" s="3" t="s">
        <v>65</v>
      </c>
      <c r="C21" s="11" t="s">
        <v>18</v>
      </c>
      <c r="D21" s="12">
        <v>47.730000000000004</v>
      </c>
      <c r="E21" s="1">
        <v>26</v>
      </c>
    </row>
    <row r="22" spans="1:5" x14ac:dyDescent="0.3">
      <c r="A22" s="73">
        <v>44205</v>
      </c>
      <c r="B22" s="3" t="s">
        <v>66</v>
      </c>
      <c r="C22" s="11" t="s">
        <v>19</v>
      </c>
      <c r="D22" s="12">
        <v>104.16</v>
      </c>
      <c r="E22" s="1">
        <v>1</v>
      </c>
    </row>
    <row r="23" spans="1:5" x14ac:dyDescent="0.3">
      <c r="A23" s="73">
        <v>44205</v>
      </c>
      <c r="B23" s="3" t="s">
        <v>67</v>
      </c>
      <c r="C23" s="11" t="s">
        <v>20</v>
      </c>
      <c r="D23" s="12">
        <v>8.33</v>
      </c>
      <c r="E23" s="1">
        <v>4</v>
      </c>
    </row>
    <row r="24" spans="1:5" x14ac:dyDescent="0.3">
      <c r="A24" s="73">
        <v>44205</v>
      </c>
      <c r="B24" s="3" t="s">
        <v>68</v>
      </c>
      <c r="C24" s="11" t="s">
        <v>21</v>
      </c>
      <c r="D24" s="12">
        <v>104.16</v>
      </c>
      <c r="E24" s="1">
        <v>29</v>
      </c>
    </row>
    <row r="25" spans="1:5" x14ac:dyDescent="0.3">
      <c r="A25" s="73">
        <v>44205</v>
      </c>
      <c r="B25" s="3" t="s">
        <v>69</v>
      </c>
      <c r="C25" s="11" t="s">
        <v>22</v>
      </c>
      <c r="D25" s="12">
        <v>115.2</v>
      </c>
      <c r="E25" s="1">
        <v>28</v>
      </c>
    </row>
    <row r="26" spans="1:5" x14ac:dyDescent="0.3">
      <c r="A26" s="73">
        <v>44205</v>
      </c>
      <c r="B26" s="3" t="s">
        <v>70</v>
      </c>
      <c r="C26" s="11" t="s">
        <v>23</v>
      </c>
      <c r="D26" s="12">
        <v>80.94</v>
      </c>
      <c r="E26" s="1">
        <v>8</v>
      </c>
    </row>
    <row r="27" spans="1:5" x14ac:dyDescent="0.3">
      <c r="A27" s="73">
        <v>44205</v>
      </c>
      <c r="B27" s="3" t="s">
        <v>71</v>
      </c>
      <c r="C27" s="11" t="s">
        <v>24</v>
      </c>
      <c r="D27" s="12">
        <v>117.48</v>
      </c>
      <c r="E27" s="1">
        <v>12</v>
      </c>
    </row>
    <row r="28" spans="1:5" x14ac:dyDescent="0.3">
      <c r="B28" t="s">
        <v>72</v>
      </c>
      <c r="C28" t="s">
        <v>25</v>
      </c>
    </row>
    <row r="29" spans="1:5" x14ac:dyDescent="0.3">
      <c r="C29" t="s">
        <v>26</v>
      </c>
    </row>
  </sheetData>
  <dataValidations count="1">
    <dataValidation type="whole" allowBlank="1" showInputMessage="1" showErrorMessage="1" sqref="E4:E27" xr:uid="{BB93C39A-BF7F-4059-BAE0-4258D5F09D7A}">
      <formula1>1</formula1>
      <formula2>1000</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4F8F-F990-476D-AC0A-22802092E6B5}">
  <sheetPr codeName="Sheet3"/>
  <dimension ref="A1:H826"/>
  <sheetViews>
    <sheetView zoomScaleNormal="100" workbookViewId="0">
      <selection activeCell="E8" sqref="E8"/>
    </sheetView>
  </sheetViews>
  <sheetFormatPr defaultRowHeight="14.4" x14ac:dyDescent="0.3"/>
  <cols>
    <col min="1" max="1" width="20.6640625" style="4" customWidth="1"/>
    <col min="2" max="2" width="22.77734375" style="4" customWidth="1"/>
    <col min="3" max="3" width="15" style="4" customWidth="1"/>
    <col min="4" max="6" width="8.88671875" style="4"/>
    <col min="7" max="7" width="10.88671875" style="4" bestFit="1" customWidth="1"/>
    <col min="8" max="16384" width="8.88671875" style="4"/>
  </cols>
  <sheetData>
    <row r="1" spans="1:8" ht="15" thickBot="1" x14ac:dyDescent="0.35">
      <c r="A1" s="2" t="s">
        <v>94</v>
      </c>
      <c r="B1" s="2" t="s">
        <v>93</v>
      </c>
      <c r="C1" s="2" t="s">
        <v>107</v>
      </c>
      <c r="H1" s="4" t="s">
        <v>224</v>
      </c>
    </row>
    <row r="2" spans="1:8" x14ac:dyDescent="0.3">
      <c r="A2" s="4" t="s">
        <v>143</v>
      </c>
      <c r="B2" s="1" t="s">
        <v>86</v>
      </c>
      <c r="C2" s="1" t="s">
        <v>114</v>
      </c>
      <c r="G2" s="3" t="s">
        <v>48</v>
      </c>
      <c r="H2" s="4" t="str">
        <f>_xlfn.XLOOKUP(G2,'Input Data'!$N$5:$N$64,'Input Data'!$O$5:$O$64,"Not found",0)</f>
        <v>Thornwell Trading</v>
      </c>
    </row>
    <row r="3" spans="1:8" x14ac:dyDescent="0.3">
      <c r="A3" s="4" t="s">
        <v>144</v>
      </c>
      <c r="B3" s="1" t="s">
        <v>78</v>
      </c>
      <c r="C3" s="1" t="s">
        <v>114</v>
      </c>
      <c r="G3" s="3" t="s">
        <v>49</v>
      </c>
      <c r="H3" s="4" t="str">
        <f>_xlfn.XLOOKUP(G3,'Input Data'!$N$5:$N$64,'Input Data'!$O$5:$O$64,"Not found",0)</f>
        <v>Baxter &amp; Kline Supplies</v>
      </c>
    </row>
    <row r="4" spans="1:8" x14ac:dyDescent="0.3">
      <c r="A4" s="4" t="s">
        <v>145</v>
      </c>
      <c r="B4" s="1" t="s">
        <v>83</v>
      </c>
      <c r="C4" s="1" t="s">
        <v>111</v>
      </c>
      <c r="G4" s="3" t="s">
        <v>50</v>
      </c>
      <c r="H4" s="4" t="str">
        <f>_xlfn.XLOOKUP(G4,'Input Data'!$N$5:$N$64,'Input Data'!$O$5:$O$64,"Not found",0)</f>
        <v>Meridian Hardware Co.</v>
      </c>
    </row>
    <row r="5" spans="1:8" x14ac:dyDescent="0.3">
      <c r="A5" s="4" t="s">
        <v>146</v>
      </c>
      <c r="B5" s="1" t="s">
        <v>89</v>
      </c>
      <c r="C5" s="1" t="s">
        <v>114</v>
      </c>
      <c r="G5" s="3" t="s">
        <v>51</v>
      </c>
      <c r="H5" s="4" t="str">
        <f>_xlfn.XLOOKUP(G5,'Input Data'!$N$5:$N$64,'Input Data'!$O$5:$O$64,"Not found",0)</f>
        <v>Coastal Fittings Ltd</v>
      </c>
    </row>
    <row r="6" spans="1:8" x14ac:dyDescent="0.3">
      <c r="A6" s="4" t="s">
        <v>147</v>
      </c>
      <c r="B6" s="1" t="s">
        <v>83</v>
      </c>
      <c r="C6" s="1" t="s">
        <v>111</v>
      </c>
      <c r="G6" s="3" t="s">
        <v>52</v>
      </c>
      <c r="H6" s="4" t="str">
        <f>_xlfn.XLOOKUP(G6,'Input Data'!$N$5:$N$64,'Input Data'!$O$5:$O$64,"Not found",0)</f>
        <v>Harrow Distribution</v>
      </c>
    </row>
    <row r="7" spans="1:8" x14ac:dyDescent="0.3">
      <c r="A7" s="4" t="s">
        <v>148</v>
      </c>
      <c r="B7" s="1" t="s">
        <v>87</v>
      </c>
      <c r="C7" s="1" t="s">
        <v>114</v>
      </c>
      <c r="G7" s="3" t="s">
        <v>53</v>
      </c>
      <c r="H7" s="4" t="str">
        <f>_xlfn.XLOOKUP(G7,'Input Data'!$N$5:$N$64,'Input Data'!$O$5:$O$64,"Not found",0)</f>
        <v>Vantage Point Retailers</v>
      </c>
    </row>
    <row r="8" spans="1:8" x14ac:dyDescent="0.3">
      <c r="A8" s="4" t="s">
        <v>149</v>
      </c>
      <c r="B8" s="1" t="s">
        <v>84</v>
      </c>
      <c r="C8" s="1" t="s">
        <v>114</v>
      </c>
      <c r="G8" s="3" t="s">
        <v>54</v>
      </c>
      <c r="H8" s="4" t="str">
        <f>_xlfn.XLOOKUP(G8,'Input Data'!$N$5:$N$64,'Input Data'!$O$5:$O$64,"Not found",0)</f>
        <v>Kestrel Logistics</v>
      </c>
    </row>
    <row r="9" spans="1:8" x14ac:dyDescent="0.3">
      <c r="A9" s="4" t="s">
        <v>150</v>
      </c>
      <c r="B9" s="1" t="s">
        <v>91</v>
      </c>
      <c r="C9" s="1" t="s">
        <v>114</v>
      </c>
      <c r="G9" s="3" t="s">
        <v>55</v>
      </c>
      <c r="H9" s="4" t="str">
        <f>_xlfn.XLOOKUP(G9,'Input Data'!$N$5:$N$64,'Input Data'!$O$5:$O$64,"Not found",0)</f>
        <v>Silverline Wholesalers</v>
      </c>
    </row>
    <row r="10" spans="1:8" x14ac:dyDescent="0.3">
      <c r="A10" s="4" t="s">
        <v>151</v>
      </c>
      <c r="B10" s="1" t="s">
        <v>88</v>
      </c>
      <c r="C10" s="1" t="s">
        <v>114</v>
      </c>
      <c r="G10" s="3" t="s">
        <v>56</v>
      </c>
      <c r="H10" s="4" t="str">
        <f>_xlfn.XLOOKUP(G10,'Input Data'!$N$5:$N$64,'Input Data'!$O$5:$O$64,"Not found",0)</f>
        <v>Northgate Industries</v>
      </c>
    </row>
    <row r="11" spans="1:8" x14ac:dyDescent="0.3">
      <c r="A11" s="4" t="s">
        <v>152</v>
      </c>
      <c r="B11" s="1" t="s">
        <v>83</v>
      </c>
      <c r="C11" s="1" t="s">
        <v>112</v>
      </c>
      <c r="G11" s="3" t="s">
        <v>57</v>
      </c>
      <c r="H11" s="4" t="str">
        <f>_xlfn.XLOOKUP(G11,'Input Data'!$N$5:$N$64,'Input Data'!$O$5:$O$64,"Not found",0)</f>
        <v>Ashcombe Traders</v>
      </c>
    </row>
    <row r="12" spans="1:8" x14ac:dyDescent="0.3">
      <c r="A12" s="4" t="s">
        <v>153</v>
      </c>
      <c r="B12" s="1" t="s">
        <v>85</v>
      </c>
      <c r="C12" s="1" t="s">
        <v>114</v>
      </c>
      <c r="G12" s="3" t="s">
        <v>58</v>
      </c>
      <c r="H12" s="4" t="str">
        <f>_xlfn.XLOOKUP(G12,'Input Data'!$N$5:$N$64,'Input Data'!$O$5:$O$64,"Not found",0)</f>
        <v>Redwood Mercantile</v>
      </c>
    </row>
    <row r="13" spans="1:8" x14ac:dyDescent="0.3">
      <c r="A13" s="4" t="s">
        <v>154</v>
      </c>
      <c r="B13" s="1" t="s">
        <v>83</v>
      </c>
      <c r="C13" s="1" t="s">
        <v>108</v>
      </c>
      <c r="G13" s="3" t="s">
        <v>59</v>
      </c>
      <c r="H13" s="4" t="str">
        <f>_xlfn.XLOOKUP(G13,'Input Data'!$N$5:$N$64,'Input Data'!$O$5:$O$64,"Not found",0)</f>
        <v>Bellview Enterprises</v>
      </c>
    </row>
    <row r="14" spans="1:8" x14ac:dyDescent="0.3">
      <c r="A14" s="4" t="s">
        <v>155</v>
      </c>
      <c r="B14" s="1" t="s">
        <v>79</v>
      </c>
      <c r="C14" s="1" t="s">
        <v>114</v>
      </c>
      <c r="G14" s="3" t="s">
        <v>60</v>
      </c>
      <c r="H14" s="4" t="str">
        <f>_xlfn.XLOOKUP(G14,'Input Data'!$N$5:$N$64,'Input Data'!$O$5:$O$64,"Not found",0)</f>
        <v>Union Cross Supply Co.</v>
      </c>
    </row>
    <row r="15" spans="1:8" x14ac:dyDescent="0.3">
      <c r="A15" s="4" t="s">
        <v>156</v>
      </c>
      <c r="B15" s="1" t="s">
        <v>83</v>
      </c>
      <c r="C15" s="1" t="s">
        <v>109</v>
      </c>
      <c r="G15" s="3" t="s">
        <v>61</v>
      </c>
      <c r="H15" s="4" t="str">
        <f>_xlfn.XLOOKUP(G15,'Input Data'!$N$5:$N$64,'Input Data'!$O$5:$O$64,"Not found",0)</f>
        <v>Fairstone Retail Group</v>
      </c>
    </row>
    <row r="16" spans="1:8" x14ac:dyDescent="0.3">
      <c r="A16" s="4" t="s">
        <v>157</v>
      </c>
      <c r="B16" s="1" t="s">
        <v>79</v>
      </c>
      <c r="C16" s="1" t="s">
        <v>114</v>
      </c>
      <c r="G16" s="3" t="s">
        <v>62</v>
      </c>
      <c r="H16" s="4" t="str">
        <f>_xlfn.XLOOKUP(G16,'Input Data'!$N$5:$N$64,'Input Data'!$O$5:$O$64,"Not found",0)</f>
        <v>Marchbank Traders</v>
      </c>
    </row>
    <row r="17" spans="1:8" x14ac:dyDescent="0.3">
      <c r="A17" s="4" t="s">
        <v>158</v>
      </c>
      <c r="B17" s="1" t="s">
        <v>88</v>
      </c>
      <c r="C17" s="1" t="s">
        <v>114</v>
      </c>
      <c r="G17" s="3" t="s">
        <v>63</v>
      </c>
      <c r="H17" s="4" t="str">
        <f>_xlfn.XLOOKUP(G17,'Input Data'!$N$5:$N$64,'Input Data'!$O$5:$O$64,"Not found",0)</f>
        <v>Ovenden &amp; Sons</v>
      </c>
    </row>
    <row r="18" spans="1:8" x14ac:dyDescent="0.3">
      <c r="A18" s="4" t="s">
        <v>159</v>
      </c>
      <c r="B18" s="1" t="s">
        <v>89</v>
      </c>
      <c r="C18" s="1" t="s">
        <v>114</v>
      </c>
      <c r="G18" s="3" t="s">
        <v>64</v>
      </c>
      <c r="H18" s="4" t="str">
        <f>_xlfn.XLOOKUP(G18,'Input Data'!$N$5:$N$64,'Input Data'!$O$5:$O$64,"Not found",0)</f>
        <v>Ridgeway Commercial</v>
      </c>
    </row>
    <row r="19" spans="1:8" x14ac:dyDescent="0.3">
      <c r="A19" s="4" t="s">
        <v>160</v>
      </c>
      <c r="B19" s="1" t="s">
        <v>83</v>
      </c>
      <c r="C19" s="1" t="s">
        <v>113</v>
      </c>
      <c r="G19" s="3" t="s">
        <v>65</v>
      </c>
      <c r="H19" s="4" t="str">
        <f>_xlfn.XLOOKUP(G19,'Input Data'!$N$5:$N$64,'Input Data'!$O$5:$O$64,"Not found",0)</f>
        <v>Talbot Street Merchants</v>
      </c>
    </row>
    <row r="20" spans="1:8" x14ac:dyDescent="0.3">
      <c r="A20" s="4" t="s">
        <v>161</v>
      </c>
      <c r="B20" s="1" t="s">
        <v>83</v>
      </c>
      <c r="C20" s="1" t="s">
        <v>108</v>
      </c>
      <c r="G20" s="3" t="s">
        <v>66</v>
      </c>
      <c r="H20" s="4" t="str">
        <f>_xlfn.XLOOKUP(G20,'Input Data'!$N$5:$N$64,'Input Data'!$O$5:$O$64,"Not found",0)</f>
        <v>Whitfield Distributors</v>
      </c>
    </row>
    <row r="21" spans="1:8" x14ac:dyDescent="0.3">
      <c r="A21" s="4" t="s">
        <v>162</v>
      </c>
      <c r="B21" s="1" t="s">
        <v>91</v>
      </c>
      <c r="C21" s="1" t="s">
        <v>114</v>
      </c>
      <c r="G21" s="3" t="s">
        <v>67</v>
      </c>
      <c r="H21" s="4" t="str">
        <f>_xlfn.XLOOKUP(G21,'Input Data'!$N$5:$N$64,'Input Data'!$O$5:$O$64,"Not found",0)</f>
        <v>Ironbridge Trading Co.</v>
      </c>
    </row>
    <row r="22" spans="1:8" x14ac:dyDescent="0.3">
      <c r="A22" s="4" t="s">
        <v>163</v>
      </c>
      <c r="B22" s="1" t="s">
        <v>90</v>
      </c>
      <c r="C22" s="1" t="s">
        <v>114</v>
      </c>
      <c r="G22" s="3" t="s">
        <v>68</v>
      </c>
      <c r="H22" s="4" t="str">
        <f>_xlfn.XLOOKUP(G22,'Input Data'!$N$5:$N$64,'Input Data'!$O$5:$O$64,"Not found",0)</f>
        <v>Delacroix Wholesale</v>
      </c>
    </row>
    <row r="23" spans="1:8" x14ac:dyDescent="0.3">
      <c r="A23" s="4" t="s">
        <v>164</v>
      </c>
      <c r="B23" s="1" t="s">
        <v>83</v>
      </c>
      <c r="C23" s="1" t="s">
        <v>109</v>
      </c>
      <c r="G23" s="3" t="s">
        <v>69</v>
      </c>
      <c r="H23" s="4" t="str">
        <f>_xlfn.XLOOKUP(G23,'Input Data'!$N$5:$N$64,'Input Data'!$O$5:$O$64,"Not found",0)</f>
        <v>Southcote Industries</v>
      </c>
    </row>
    <row r="24" spans="1:8" x14ac:dyDescent="0.3">
      <c r="A24" s="4" t="s">
        <v>165</v>
      </c>
      <c r="B24" s="1" t="s">
        <v>83</v>
      </c>
      <c r="C24" s="1" t="s">
        <v>113</v>
      </c>
      <c r="G24" s="3" t="s">
        <v>70</v>
      </c>
      <c r="H24" s="4" t="str">
        <f>_xlfn.XLOOKUP(G24,'Input Data'!$N$5:$N$64,'Input Data'!$O$5:$O$64,"Not found",0)</f>
        <v>Larkspur Retailers</v>
      </c>
    </row>
    <row r="25" spans="1:8" x14ac:dyDescent="0.3">
      <c r="A25" s="4" t="s">
        <v>166</v>
      </c>
      <c r="B25" s="1" t="s">
        <v>83</v>
      </c>
      <c r="C25" s="1" t="s">
        <v>110</v>
      </c>
      <c r="G25" s="3" t="s">
        <v>71</v>
      </c>
      <c r="H25" s="4" t="str">
        <f>_xlfn.XLOOKUP(G25,'Input Data'!$N$5:$N$64,'Input Data'!$O$5:$O$64,"Not found",0)</f>
        <v>Blackfriars Supply</v>
      </c>
    </row>
    <row r="26" spans="1:8" x14ac:dyDescent="0.3">
      <c r="A26" s="4" t="s">
        <v>167</v>
      </c>
      <c r="B26" s="1" t="s">
        <v>80</v>
      </c>
      <c r="C26" s="1" t="s">
        <v>114</v>
      </c>
      <c r="G26" s="3" t="s">
        <v>72</v>
      </c>
      <c r="H26" s="4" t="str">
        <f>_xlfn.XLOOKUP(G26,'Input Data'!$N$5:$N$64,'Input Data'!$O$5:$O$64,"Not found",0)</f>
        <v>Hendricks Mercantile</v>
      </c>
    </row>
    <row r="27" spans="1:8" x14ac:dyDescent="0.3">
      <c r="A27" s="4" t="s">
        <v>168</v>
      </c>
      <c r="B27" s="1" t="s">
        <v>83</v>
      </c>
      <c r="C27" s="1" t="s">
        <v>111</v>
      </c>
      <c r="G27" s="3" t="s">
        <v>73</v>
      </c>
      <c r="H27" s="4" t="str">
        <f>_xlfn.XLOOKUP(G27,'Input Data'!$N$5:$N$64,'Input Data'!$O$5:$O$64,"Not found",0)</f>
        <v>Ashworth Trading Group</v>
      </c>
    </row>
    <row r="28" spans="1:8" x14ac:dyDescent="0.3">
      <c r="A28" s="4" t="s">
        <v>169</v>
      </c>
      <c r="B28" s="1" t="s">
        <v>83</v>
      </c>
      <c r="C28" s="1" t="s">
        <v>112</v>
      </c>
      <c r="G28" s="3" t="s">
        <v>74</v>
      </c>
      <c r="H28" s="4" t="str">
        <f>_xlfn.XLOOKUP(G28,'Input Data'!$N$5:$N$64,'Input Data'!$O$5:$O$64,"Not found",0)</f>
        <v>Millbrook Distribution</v>
      </c>
    </row>
    <row r="29" spans="1:8" x14ac:dyDescent="0.3">
      <c r="A29" s="4" t="s">
        <v>170</v>
      </c>
      <c r="B29" s="1" t="s">
        <v>81</v>
      </c>
      <c r="C29" s="1" t="s">
        <v>114</v>
      </c>
      <c r="G29" s="3" t="s">
        <v>75</v>
      </c>
      <c r="H29" s="4" t="str">
        <f>_xlfn.XLOOKUP(G29,'Input Data'!$N$5:$N$64,'Input Data'!$O$5:$O$64,"Not found",0)</f>
        <v>Cranfield &amp; Co.</v>
      </c>
    </row>
    <row r="30" spans="1:8" x14ac:dyDescent="0.3">
      <c r="A30" s="4" t="s">
        <v>171</v>
      </c>
      <c r="B30" s="1" t="s">
        <v>83</v>
      </c>
      <c r="C30" s="1" t="s">
        <v>112</v>
      </c>
      <c r="G30" s="3" t="s">
        <v>76</v>
      </c>
      <c r="H30" s="4" t="str">
        <f>_xlfn.XLOOKUP(G30,'Input Data'!$N$5:$N$64,'Input Data'!$O$5:$O$64,"Not found",0)</f>
        <v>Overton Retail Solutions</v>
      </c>
    </row>
    <row r="31" spans="1:8" x14ac:dyDescent="0.3">
      <c r="A31" s="4" t="s">
        <v>172</v>
      </c>
      <c r="B31" s="1" t="s">
        <v>85</v>
      </c>
      <c r="C31" s="1" t="s">
        <v>114</v>
      </c>
      <c r="G31" s="3" t="s">
        <v>77</v>
      </c>
      <c r="H31" s="4" t="str">
        <f>_xlfn.XLOOKUP(G31,'Input Data'!$N$5:$N$64,'Input Data'!$O$5:$O$64,"Not found",0)</f>
        <v>Fenwick Traders</v>
      </c>
    </row>
    <row r="32" spans="1:8" x14ac:dyDescent="0.3">
      <c r="A32" s="4" t="s">
        <v>173</v>
      </c>
      <c r="B32" s="1" t="s">
        <v>83</v>
      </c>
      <c r="C32" s="1" t="s">
        <v>110</v>
      </c>
      <c r="G32" s="3" t="s">
        <v>95</v>
      </c>
      <c r="H32" s="4" t="str">
        <f>_xlfn.XLOOKUP(G32,'Input Data'!$N$5:$N$64,'Input Data'!$O$5:$O$64,"Not found",0)</f>
        <v>Cobalt Point Supplies</v>
      </c>
    </row>
    <row r="33" spans="1:8" x14ac:dyDescent="0.3">
      <c r="A33" s="4" t="s">
        <v>174</v>
      </c>
      <c r="B33" s="1" t="s">
        <v>87</v>
      </c>
      <c r="C33" s="1" t="s">
        <v>114</v>
      </c>
      <c r="G33" s="3" t="s">
        <v>96</v>
      </c>
      <c r="H33" s="4" t="str">
        <f>_xlfn.XLOOKUP(G33,'Input Data'!$N$5:$N$64,'Input Data'!$O$5:$O$64,"Not found",0)</f>
        <v>Draycott Wholesalers</v>
      </c>
    </row>
    <row r="34" spans="1:8" x14ac:dyDescent="0.3">
      <c r="A34" s="4" t="s">
        <v>175</v>
      </c>
      <c r="B34" s="1" t="s">
        <v>83</v>
      </c>
      <c r="C34" s="1" t="s">
        <v>113</v>
      </c>
      <c r="G34" s="3" t="s">
        <v>97</v>
      </c>
      <c r="H34" s="4" t="str">
        <f>_xlfn.XLOOKUP(G34,'Input Data'!$N$5:$N$64,'Input Data'!$O$5:$O$64,"Not found",0)</f>
        <v>Stonebridge Commercial</v>
      </c>
    </row>
    <row r="35" spans="1:8" x14ac:dyDescent="0.3">
      <c r="A35" s="4" t="s">
        <v>176</v>
      </c>
      <c r="B35" s="1" t="s">
        <v>83</v>
      </c>
      <c r="C35" s="1" t="s">
        <v>111</v>
      </c>
      <c r="G35" s="3" t="s">
        <v>98</v>
      </c>
      <c r="H35" s="4" t="str">
        <f>_xlfn.XLOOKUP(G35,'Input Data'!$N$5:$N$64,'Input Data'!$O$5:$O$64,"Not found",0)</f>
        <v>Alderman Retail Group</v>
      </c>
    </row>
    <row r="36" spans="1:8" x14ac:dyDescent="0.3">
      <c r="A36" s="4" t="s">
        <v>177</v>
      </c>
      <c r="B36" s="1" t="s">
        <v>83</v>
      </c>
      <c r="C36" s="1" t="s">
        <v>110</v>
      </c>
      <c r="G36" s="3" t="s">
        <v>99</v>
      </c>
      <c r="H36" s="4" t="str">
        <f>_xlfn.XLOOKUP(G36,'Input Data'!$N$5:$N$64,'Input Data'!$O$5:$O$64,"Not found",0)</f>
        <v>Northfield Traders</v>
      </c>
    </row>
    <row r="37" spans="1:8" x14ac:dyDescent="0.3">
      <c r="A37" s="4" t="s">
        <v>178</v>
      </c>
      <c r="B37" s="1" t="s">
        <v>87</v>
      </c>
      <c r="C37" s="1" t="s">
        <v>114</v>
      </c>
      <c r="G37" s="3" t="s">
        <v>100</v>
      </c>
      <c r="H37" s="4" t="str">
        <f>_xlfn.XLOOKUP(G37,'Input Data'!$N$5:$N$64,'Input Data'!$O$5:$O$64,"Not found",0)</f>
        <v>Pemberton &amp; Associates</v>
      </c>
    </row>
    <row r="38" spans="1:8" x14ac:dyDescent="0.3">
      <c r="A38" s="4" t="s">
        <v>179</v>
      </c>
      <c r="B38" s="1" t="s">
        <v>92</v>
      </c>
      <c r="C38" s="1" t="s">
        <v>114</v>
      </c>
      <c r="G38" s="3" t="s">
        <v>101</v>
      </c>
      <c r="H38" s="4" t="str">
        <f>_xlfn.XLOOKUP(G38,'Input Data'!$N$5:$N$64,'Input Data'!$O$5:$O$64,"Not found",0)</f>
        <v>Hollowell Supply Co.</v>
      </c>
    </row>
    <row r="39" spans="1:8" x14ac:dyDescent="0.3">
      <c r="A39" s="4" t="s">
        <v>180</v>
      </c>
      <c r="B39" s="1" t="s">
        <v>83</v>
      </c>
      <c r="C39" s="1" t="s">
        <v>111</v>
      </c>
      <c r="G39" s="3" t="s">
        <v>102</v>
      </c>
      <c r="H39" s="4" t="str">
        <f>_xlfn.XLOOKUP(G39,'Input Data'!$N$5:$N$64,'Input Data'!$O$5:$O$64,"Not found",0)</f>
        <v>Kingsmead Distribution</v>
      </c>
    </row>
    <row r="40" spans="1:8" x14ac:dyDescent="0.3">
      <c r="A40" s="4" t="s">
        <v>181</v>
      </c>
      <c r="B40" s="1" t="s">
        <v>82</v>
      </c>
      <c r="C40" s="1" t="s">
        <v>114</v>
      </c>
      <c r="G40" s="3" t="s">
        <v>103</v>
      </c>
      <c r="H40" s="4" t="str">
        <f>_xlfn.XLOOKUP(G40,'Input Data'!$N$5:$N$64,'Input Data'!$O$5:$O$64,"Not found",0)</f>
        <v>Vesterly Traders</v>
      </c>
    </row>
    <row r="41" spans="1:8" x14ac:dyDescent="0.3">
      <c r="A41" s="4" t="s">
        <v>182</v>
      </c>
      <c r="B41" s="1" t="s">
        <v>92</v>
      </c>
      <c r="C41" s="1" t="s">
        <v>114</v>
      </c>
      <c r="G41" s="3" t="s">
        <v>104</v>
      </c>
      <c r="H41" s="4" t="str">
        <f>_xlfn.XLOOKUP(G41,'Input Data'!$N$5:$N$64,'Input Data'!$O$5:$O$64,"Not found",0)</f>
        <v>Radcliffe Mercantile</v>
      </c>
    </row>
    <row r="42" spans="1:8" x14ac:dyDescent="0.3">
      <c r="A42"/>
      <c r="B42"/>
      <c r="C42"/>
    </row>
    <row r="43" spans="1:8" x14ac:dyDescent="0.3">
      <c r="A43"/>
      <c r="B43"/>
      <c r="C43"/>
    </row>
    <row r="44" spans="1:8" x14ac:dyDescent="0.3">
      <c r="A44"/>
      <c r="B44"/>
      <c r="C44"/>
    </row>
    <row r="45" spans="1:8" x14ac:dyDescent="0.3">
      <c r="A45"/>
      <c r="B45"/>
      <c r="C45"/>
    </row>
    <row r="46" spans="1:8" x14ac:dyDescent="0.3">
      <c r="A46"/>
      <c r="B46"/>
      <c r="C46"/>
    </row>
    <row r="47" spans="1:8" x14ac:dyDescent="0.3">
      <c r="A47"/>
      <c r="B47"/>
      <c r="C47"/>
    </row>
    <row r="48" spans="1:8" x14ac:dyDescent="0.3">
      <c r="A48"/>
      <c r="B48"/>
      <c r="C48"/>
    </row>
    <row r="49" spans="1:3" x14ac:dyDescent="0.3">
      <c r="A49"/>
      <c r="B49"/>
      <c r="C49"/>
    </row>
    <row r="50" spans="1:3" x14ac:dyDescent="0.3">
      <c r="A50"/>
      <c r="B50"/>
      <c r="C50"/>
    </row>
    <row r="51" spans="1:3" x14ac:dyDescent="0.3">
      <c r="A51"/>
      <c r="B51"/>
      <c r="C51"/>
    </row>
    <row r="52" spans="1:3" x14ac:dyDescent="0.3">
      <c r="A52"/>
      <c r="B52"/>
      <c r="C52"/>
    </row>
    <row r="53" spans="1:3" x14ac:dyDescent="0.3">
      <c r="A53"/>
      <c r="B53"/>
      <c r="C53"/>
    </row>
    <row r="54" spans="1:3" x14ac:dyDescent="0.3">
      <c r="A54"/>
      <c r="B54"/>
      <c r="C54"/>
    </row>
    <row r="55" spans="1:3" x14ac:dyDescent="0.3">
      <c r="A55"/>
      <c r="B55"/>
      <c r="C55"/>
    </row>
    <row r="56" spans="1:3" x14ac:dyDescent="0.3">
      <c r="A56"/>
      <c r="B56"/>
      <c r="C56"/>
    </row>
    <row r="57" spans="1:3" x14ac:dyDescent="0.3">
      <c r="A57"/>
      <c r="B57"/>
      <c r="C57"/>
    </row>
    <row r="58" spans="1:3" x14ac:dyDescent="0.3">
      <c r="A58"/>
      <c r="B58"/>
      <c r="C58"/>
    </row>
    <row r="59" spans="1:3" x14ac:dyDescent="0.3">
      <c r="A59"/>
      <c r="B59"/>
      <c r="C59"/>
    </row>
    <row r="60" spans="1:3" x14ac:dyDescent="0.3">
      <c r="A60"/>
      <c r="B60"/>
      <c r="C60"/>
    </row>
    <row r="61" spans="1:3" x14ac:dyDescent="0.3">
      <c r="A61"/>
      <c r="B61"/>
      <c r="C61"/>
    </row>
    <row r="62" spans="1:3" x14ac:dyDescent="0.3">
      <c r="A62"/>
      <c r="B62"/>
      <c r="C62"/>
    </row>
    <row r="63" spans="1:3" x14ac:dyDescent="0.3">
      <c r="A63"/>
      <c r="B63"/>
      <c r="C63"/>
    </row>
    <row r="64" spans="1:3" x14ac:dyDescent="0.3">
      <c r="A64"/>
      <c r="B64"/>
      <c r="C64"/>
    </row>
    <row r="65" spans="1:3" x14ac:dyDescent="0.3">
      <c r="A65"/>
      <c r="B65"/>
      <c r="C65"/>
    </row>
    <row r="66" spans="1:3" x14ac:dyDescent="0.3">
      <c r="A66"/>
      <c r="B66"/>
      <c r="C66"/>
    </row>
    <row r="67" spans="1:3" x14ac:dyDescent="0.3">
      <c r="A67"/>
      <c r="B67"/>
      <c r="C67"/>
    </row>
    <row r="68" spans="1:3" x14ac:dyDescent="0.3">
      <c r="A68"/>
      <c r="B68"/>
      <c r="C68"/>
    </row>
    <row r="69" spans="1:3" x14ac:dyDescent="0.3">
      <c r="A69"/>
      <c r="B69"/>
      <c r="C69"/>
    </row>
    <row r="70" spans="1:3" x14ac:dyDescent="0.3">
      <c r="A70"/>
      <c r="B70"/>
      <c r="C70"/>
    </row>
    <row r="71" spans="1:3" x14ac:dyDescent="0.3">
      <c r="A71"/>
      <c r="B71"/>
      <c r="C71"/>
    </row>
    <row r="72" spans="1:3" x14ac:dyDescent="0.3">
      <c r="A72"/>
      <c r="B72"/>
      <c r="C72"/>
    </row>
    <row r="73" spans="1:3" x14ac:dyDescent="0.3">
      <c r="A73"/>
      <c r="B73"/>
      <c r="C73"/>
    </row>
    <row r="74" spans="1:3" x14ac:dyDescent="0.3">
      <c r="A74"/>
      <c r="B74"/>
      <c r="C74"/>
    </row>
    <row r="75" spans="1:3" x14ac:dyDescent="0.3">
      <c r="A75"/>
      <c r="B75"/>
      <c r="C75"/>
    </row>
    <row r="76" spans="1:3" x14ac:dyDescent="0.3">
      <c r="A76"/>
      <c r="B76"/>
      <c r="C76"/>
    </row>
    <row r="77" spans="1:3" x14ac:dyDescent="0.3">
      <c r="A77"/>
      <c r="B77"/>
      <c r="C77"/>
    </row>
    <row r="78" spans="1:3" x14ac:dyDescent="0.3">
      <c r="A78"/>
      <c r="B78"/>
      <c r="C78"/>
    </row>
    <row r="79" spans="1:3" x14ac:dyDescent="0.3">
      <c r="A79"/>
      <c r="B79"/>
      <c r="C79"/>
    </row>
    <row r="80" spans="1:3" x14ac:dyDescent="0.3">
      <c r="A80"/>
      <c r="B80"/>
      <c r="C80"/>
    </row>
    <row r="81" spans="1:3" x14ac:dyDescent="0.3">
      <c r="A81"/>
      <c r="B81"/>
      <c r="C81"/>
    </row>
    <row r="82" spans="1:3" x14ac:dyDescent="0.3">
      <c r="A82"/>
      <c r="B82"/>
      <c r="C82"/>
    </row>
    <row r="83" spans="1:3" x14ac:dyDescent="0.3">
      <c r="A83"/>
      <c r="B83"/>
      <c r="C83"/>
    </row>
    <row r="84" spans="1:3" x14ac:dyDescent="0.3">
      <c r="A84"/>
      <c r="B84"/>
      <c r="C84"/>
    </row>
    <row r="85" spans="1:3" x14ac:dyDescent="0.3">
      <c r="A85"/>
      <c r="B85"/>
      <c r="C85"/>
    </row>
    <row r="86" spans="1:3" x14ac:dyDescent="0.3">
      <c r="A86"/>
      <c r="B86"/>
      <c r="C86"/>
    </row>
    <row r="87" spans="1:3" x14ac:dyDescent="0.3">
      <c r="A87"/>
      <c r="B87"/>
      <c r="C87"/>
    </row>
    <row r="88" spans="1:3" x14ac:dyDescent="0.3">
      <c r="A88"/>
      <c r="B88"/>
      <c r="C88"/>
    </row>
    <row r="89" spans="1:3" x14ac:dyDescent="0.3">
      <c r="A89"/>
      <c r="B89"/>
      <c r="C89"/>
    </row>
    <row r="90" spans="1:3" x14ac:dyDescent="0.3">
      <c r="A90"/>
      <c r="B90"/>
      <c r="C90"/>
    </row>
    <row r="91" spans="1:3" x14ac:dyDescent="0.3">
      <c r="A91"/>
      <c r="B91"/>
      <c r="C91"/>
    </row>
    <row r="92" spans="1:3" x14ac:dyDescent="0.3">
      <c r="A92"/>
      <c r="B92"/>
      <c r="C92"/>
    </row>
    <row r="93" spans="1:3" x14ac:dyDescent="0.3">
      <c r="A93"/>
      <c r="B93"/>
      <c r="C93"/>
    </row>
    <row r="94" spans="1:3" x14ac:dyDescent="0.3">
      <c r="A94"/>
      <c r="B94"/>
      <c r="C94"/>
    </row>
    <row r="95" spans="1:3" x14ac:dyDescent="0.3">
      <c r="A95"/>
      <c r="B95"/>
      <c r="C95"/>
    </row>
    <row r="96" spans="1:3" x14ac:dyDescent="0.3">
      <c r="A96"/>
      <c r="B96"/>
      <c r="C96"/>
    </row>
    <row r="97" spans="1:3" x14ac:dyDescent="0.3">
      <c r="A97"/>
      <c r="B97"/>
      <c r="C97"/>
    </row>
    <row r="98" spans="1:3" x14ac:dyDescent="0.3">
      <c r="A98"/>
      <c r="B98"/>
      <c r="C98"/>
    </row>
    <row r="99" spans="1:3" x14ac:dyDescent="0.3">
      <c r="A99"/>
      <c r="B99"/>
      <c r="C99"/>
    </row>
    <row r="100" spans="1:3" x14ac:dyDescent="0.3">
      <c r="A100"/>
      <c r="B100"/>
      <c r="C100"/>
    </row>
    <row r="101" spans="1:3" x14ac:dyDescent="0.3">
      <c r="A101"/>
      <c r="B101"/>
      <c r="C101"/>
    </row>
    <row r="102" spans="1:3" x14ac:dyDescent="0.3">
      <c r="A102"/>
      <c r="B102"/>
      <c r="C102"/>
    </row>
    <row r="103" spans="1:3" x14ac:dyDescent="0.3">
      <c r="A103"/>
      <c r="B103"/>
      <c r="C103"/>
    </row>
    <row r="104" spans="1:3" x14ac:dyDescent="0.3">
      <c r="A104"/>
      <c r="B104"/>
      <c r="C104"/>
    </row>
    <row r="105" spans="1:3" x14ac:dyDescent="0.3">
      <c r="A105"/>
      <c r="B105"/>
      <c r="C105"/>
    </row>
    <row r="106" spans="1:3" x14ac:dyDescent="0.3">
      <c r="A106"/>
      <c r="B106"/>
      <c r="C106"/>
    </row>
    <row r="107" spans="1:3" x14ac:dyDescent="0.3">
      <c r="A107"/>
      <c r="B107"/>
      <c r="C107"/>
    </row>
    <row r="108" spans="1:3" x14ac:dyDescent="0.3">
      <c r="A108"/>
      <c r="B108"/>
      <c r="C108"/>
    </row>
    <row r="109" spans="1:3" x14ac:dyDescent="0.3">
      <c r="A109"/>
      <c r="B109"/>
      <c r="C109"/>
    </row>
    <row r="110" spans="1:3" x14ac:dyDescent="0.3">
      <c r="A110"/>
      <c r="B110"/>
      <c r="C110"/>
    </row>
    <row r="111" spans="1:3" x14ac:dyDescent="0.3">
      <c r="A111"/>
      <c r="B111"/>
      <c r="C111"/>
    </row>
    <row r="112" spans="1:3" x14ac:dyDescent="0.3">
      <c r="A112"/>
      <c r="B112"/>
      <c r="C112"/>
    </row>
    <row r="113" spans="1:3" x14ac:dyDescent="0.3">
      <c r="A113"/>
      <c r="B113"/>
      <c r="C113"/>
    </row>
    <row r="114" spans="1:3" x14ac:dyDescent="0.3">
      <c r="A114"/>
      <c r="B114"/>
      <c r="C114"/>
    </row>
    <row r="115" spans="1:3" x14ac:dyDescent="0.3">
      <c r="A115"/>
      <c r="B115"/>
      <c r="C115"/>
    </row>
    <row r="116" spans="1:3" x14ac:dyDescent="0.3">
      <c r="A116"/>
      <c r="B116"/>
      <c r="C116"/>
    </row>
    <row r="117" spans="1:3" x14ac:dyDescent="0.3">
      <c r="A117"/>
      <c r="B117"/>
      <c r="C117"/>
    </row>
    <row r="118" spans="1:3" x14ac:dyDescent="0.3">
      <c r="A118"/>
      <c r="B118"/>
      <c r="C118"/>
    </row>
    <row r="119" spans="1:3" x14ac:dyDescent="0.3">
      <c r="A119"/>
      <c r="B119"/>
      <c r="C119"/>
    </row>
    <row r="120" spans="1:3" x14ac:dyDescent="0.3">
      <c r="A120"/>
      <c r="B120"/>
      <c r="C120"/>
    </row>
    <row r="121" spans="1:3" x14ac:dyDescent="0.3">
      <c r="A121"/>
      <c r="B121"/>
      <c r="C121"/>
    </row>
    <row r="122" spans="1:3" x14ac:dyDescent="0.3">
      <c r="A122"/>
      <c r="B122"/>
      <c r="C122"/>
    </row>
    <row r="123" spans="1:3" x14ac:dyDescent="0.3">
      <c r="A123"/>
      <c r="B123"/>
      <c r="C123"/>
    </row>
    <row r="124" spans="1:3" x14ac:dyDescent="0.3">
      <c r="A124"/>
      <c r="B124"/>
      <c r="C124"/>
    </row>
    <row r="125" spans="1:3" x14ac:dyDescent="0.3">
      <c r="A125"/>
      <c r="B125"/>
      <c r="C125"/>
    </row>
    <row r="126" spans="1:3" x14ac:dyDescent="0.3">
      <c r="A126"/>
      <c r="B126"/>
      <c r="C126"/>
    </row>
    <row r="127" spans="1:3" x14ac:dyDescent="0.3">
      <c r="A127"/>
      <c r="B127"/>
      <c r="C127"/>
    </row>
    <row r="128" spans="1:3" x14ac:dyDescent="0.3">
      <c r="A128"/>
      <c r="B128"/>
      <c r="C128"/>
    </row>
    <row r="129" spans="1:3" x14ac:dyDescent="0.3">
      <c r="A129"/>
      <c r="B129"/>
      <c r="C129"/>
    </row>
    <row r="130" spans="1:3" x14ac:dyDescent="0.3">
      <c r="A130"/>
      <c r="B130"/>
      <c r="C130"/>
    </row>
    <row r="131" spans="1:3" x14ac:dyDescent="0.3">
      <c r="A131"/>
      <c r="B131"/>
      <c r="C131"/>
    </row>
    <row r="132" spans="1:3" x14ac:dyDescent="0.3">
      <c r="A132"/>
      <c r="B132"/>
      <c r="C132"/>
    </row>
    <row r="133" spans="1:3" x14ac:dyDescent="0.3">
      <c r="A133"/>
      <c r="B133"/>
      <c r="C133"/>
    </row>
    <row r="134" spans="1:3" x14ac:dyDescent="0.3">
      <c r="A134"/>
      <c r="B134"/>
      <c r="C134"/>
    </row>
    <row r="135" spans="1:3" x14ac:dyDescent="0.3">
      <c r="A135"/>
      <c r="B135"/>
      <c r="C135"/>
    </row>
    <row r="136" spans="1:3" x14ac:dyDescent="0.3">
      <c r="A136"/>
      <c r="B136"/>
      <c r="C136"/>
    </row>
    <row r="137" spans="1:3" x14ac:dyDescent="0.3">
      <c r="A137"/>
      <c r="B137"/>
      <c r="C137"/>
    </row>
    <row r="138" spans="1:3" x14ac:dyDescent="0.3">
      <c r="A138"/>
      <c r="B138"/>
      <c r="C138"/>
    </row>
    <row r="139" spans="1:3" x14ac:dyDescent="0.3">
      <c r="A139"/>
      <c r="B139"/>
      <c r="C139"/>
    </row>
    <row r="140" spans="1:3" x14ac:dyDescent="0.3">
      <c r="A140"/>
      <c r="B140"/>
      <c r="C140"/>
    </row>
    <row r="141" spans="1:3" x14ac:dyDescent="0.3">
      <c r="A141"/>
      <c r="B141"/>
      <c r="C141"/>
    </row>
    <row r="142" spans="1:3" x14ac:dyDescent="0.3">
      <c r="A142"/>
      <c r="B142"/>
      <c r="C142"/>
    </row>
    <row r="143" spans="1:3" x14ac:dyDescent="0.3">
      <c r="A143"/>
      <c r="B143"/>
      <c r="C143"/>
    </row>
    <row r="144" spans="1:3" x14ac:dyDescent="0.3">
      <c r="A144"/>
      <c r="B144"/>
      <c r="C144"/>
    </row>
    <row r="145" spans="1:3" x14ac:dyDescent="0.3">
      <c r="A145"/>
      <c r="B145"/>
      <c r="C145"/>
    </row>
    <row r="146" spans="1:3" x14ac:dyDescent="0.3">
      <c r="A146"/>
      <c r="B146"/>
      <c r="C146"/>
    </row>
    <row r="147" spans="1:3" x14ac:dyDescent="0.3">
      <c r="A147"/>
      <c r="B147"/>
      <c r="C147"/>
    </row>
    <row r="148" spans="1:3" x14ac:dyDescent="0.3">
      <c r="A148"/>
      <c r="B148"/>
      <c r="C148"/>
    </row>
    <row r="149" spans="1:3" x14ac:dyDescent="0.3">
      <c r="A149"/>
      <c r="B149"/>
      <c r="C149"/>
    </row>
    <row r="150" spans="1:3" x14ac:dyDescent="0.3">
      <c r="A150"/>
      <c r="B150"/>
      <c r="C150"/>
    </row>
    <row r="151" spans="1:3" x14ac:dyDescent="0.3">
      <c r="A151"/>
      <c r="B151"/>
      <c r="C151"/>
    </row>
    <row r="152" spans="1:3" x14ac:dyDescent="0.3">
      <c r="A152"/>
      <c r="B152"/>
      <c r="C152"/>
    </row>
    <row r="153" spans="1:3" x14ac:dyDescent="0.3">
      <c r="A153"/>
      <c r="B153"/>
      <c r="C153"/>
    </row>
    <row r="154" spans="1:3" x14ac:dyDescent="0.3">
      <c r="A154"/>
      <c r="B154"/>
      <c r="C154"/>
    </row>
    <row r="155" spans="1:3" x14ac:dyDescent="0.3">
      <c r="A155"/>
      <c r="B155"/>
      <c r="C155"/>
    </row>
    <row r="156" spans="1:3" x14ac:dyDescent="0.3">
      <c r="A156"/>
      <c r="B156"/>
      <c r="C156"/>
    </row>
    <row r="157" spans="1:3" x14ac:dyDescent="0.3">
      <c r="A157"/>
      <c r="B157"/>
      <c r="C157"/>
    </row>
    <row r="158" spans="1:3" x14ac:dyDescent="0.3">
      <c r="A158"/>
      <c r="B158"/>
      <c r="C158"/>
    </row>
    <row r="159" spans="1:3" x14ac:dyDescent="0.3">
      <c r="A159"/>
      <c r="B159"/>
      <c r="C159"/>
    </row>
    <row r="160" spans="1:3" x14ac:dyDescent="0.3">
      <c r="A160"/>
      <c r="B160"/>
      <c r="C160"/>
    </row>
    <row r="161" spans="1:3" x14ac:dyDescent="0.3">
      <c r="A161"/>
      <c r="B161"/>
      <c r="C161"/>
    </row>
    <row r="162" spans="1:3" x14ac:dyDescent="0.3">
      <c r="A162"/>
      <c r="B162"/>
      <c r="C162"/>
    </row>
    <row r="163" spans="1:3" x14ac:dyDescent="0.3">
      <c r="A163"/>
      <c r="B163"/>
      <c r="C163"/>
    </row>
    <row r="164" spans="1:3" x14ac:dyDescent="0.3">
      <c r="A164"/>
      <c r="B164"/>
      <c r="C164"/>
    </row>
    <row r="165" spans="1:3" x14ac:dyDescent="0.3">
      <c r="A165"/>
      <c r="B165"/>
      <c r="C165"/>
    </row>
    <row r="166" spans="1:3" x14ac:dyDescent="0.3">
      <c r="A166"/>
      <c r="B166"/>
      <c r="C166"/>
    </row>
    <row r="167" spans="1:3" x14ac:dyDescent="0.3">
      <c r="A167"/>
      <c r="B167"/>
      <c r="C167"/>
    </row>
    <row r="168" spans="1:3" x14ac:dyDescent="0.3">
      <c r="A168"/>
      <c r="B168"/>
      <c r="C168"/>
    </row>
    <row r="169" spans="1:3" x14ac:dyDescent="0.3">
      <c r="A169"/>
      <c r="B169"/>
      <c r="C169"/>
    </row>
    <row r="170" spans="1:3" x14ac:dyDescent="0.3">
      <c r="A170"/>
      <c r="B170"/>
      <c r="C170"/>
    </row>
    <row r="171" spans="1:3" x14ac:dyDescent="0.3">
      <c r="A171"/>
      <c r="B171"/>
      <c r="C171"/>
    </row>
    <row r="172" spans="1:3" x14ac:dyDescent="0.3">
      <c r="A172"/>
      <c r="B172"/>
      <c r="C172"/>
    </row>
    <row r="173" spans="1:3" x14ac:dyDescent="0.3">
      <c r="A173"/>
      <c r="B173"/>
      <c r="C173"/>
    </row>
    <row r="174" spans="1:3" x14ac:dyDescent="0.3">
      <c r="A174"/>
      <c r="B174"/>
      <c r="C174"/>
    </row>
    <row r="175" spans="1:3" x14ac:dyDescent="0.3">
      <c r="A175"/>
      <c r="B175"/>
      <c r="C175"/>
    </row>
    <row r="176" spans="1:3" x14ac:dyDescent="0.3">
      <c r="A176"/>
      <c r="B176"/>
      <c r="C176"/>
    </row>
    <row r="177" spans="1:3" x14ac:dyDescent="0.3">
      <c r="A177"/>
      <c r="B177"/>
      <c r="C177"/>
    </row>
    <row r="178" spans="1:3" x14ac:dyDescent="0.3">
      <c r="A178"/>
      <c r="B178"/>
      <c r="C178"/>
    </row>
    <row r="179" spans="1:3" x14ac:dyDescent="0.3">
      <c r="A179"/>
      <c r="B179"/>
      <c r="C179"/>
    </row>
    <row r="180" spans="1:3" x14ac:dyDescent="0.3">
      <c r="A180"/>
      <c r="B180"/>
      <c r="C180"/>
    </row>
    <row r="181" spans="1:3" x14ac:dyDescent="0.3">
      <c r="A181"/>
      <c r="B181"/>
      <c r="C181"/>
    </row>
    <row r="182" spans="1:3" x14ac:dyDescent="0.3">
      <c r="A182"/>
      <c r="B182"/>
      <c r="C182"/>
    </row>
    <row r="183" spans="1:3" x14ac:dyDescent="0.3">
      <c r="A183"/>
      <c r="B183"/>
      <c r="C183"/>
    </row>
    <row r="184" spans="1:3" x14ac:dyDescent="0.3">
      <c r="A184"/>
      <c r="B184"/>
      <c r="C184"/>
    </row>
    <row r="185" spans="1:3" x14ac:dyDescent="0.3">
      <c r="A185"/>
      <c r="B185"/>
      <c r="C185"/>
    </row>
    <row r="186" spans="1:3" x14ac:dyDescent="0.3">
      <c r="A186"/>
      <c r="B186"/>
      <c r="C186"/>
    </row>
    <row r="187" spans="1:3" x14ac:dyDescent="0.3">
      <c r="A187"/>
      <c r="B187"/>
      <c r="C187"/>
    </row>
    <row r="188" spans="1:3" x14ac:dyDescent="0.3">
      <c r="A188"/>
      <c r="B188"/>
      <c r="C188"/>
    </row>
    <row r="189" spans="1:3" x14ac:dyDescent="0.3">
      <c r="A189"/>
      <c r="B189"/>
      <c r="C189"/>
    </row>
    <row r="190" spans="1:3" x14ac:dyDescent="0.3">
      <c r="A190"/>
      <c r="B190"/>
      <c r="C190"/>
    </row>
    <row r="191" spans="1:3" x14ac:dyDescent="0.3">
      <c r="A191"/>
      <c r="B191"/>
      <c r="C191"/>
    </row>
    <row r="192" spans="1:3" x14ac:dyDescent="0.3">
      <c r="A192"/>
      <c r="B192"/>
      <c r="C192"/>
    </row>
    <row r="193" spans="1:3" x14ac:dyDescent="0.3">
      <c r="A193"/>
      <c r="B193"/>
      <c r="C193"/>
    </row>
    <row r="194" spans="1:3" x14ac:dyDescent="0.3">
      <c r="A194"/>
      <c r="B194"/>
      <c r="C194"/>
    </row>
    <row r="195" spans="1:3" x14ac:dyDescent="0.3">
      <c r="A195"/>
      <c r="B195"/>
      <c r="C195"/>
    </row>
    <row r="196" spans="1:3" x14ac:dyDescent="0.3">
      <c r="A196"/>
      <c r="B196"/>
      <c r="C196"/>
    </row>
    <row r="197" spans="1:3" x14ac:dyDescent="0.3">
      <c r="A197"/>
      <c r="B197"/>
      <c r="C197"/>
    </row>
    <row r="198" spans="1:3" x14ac:dyDescent="0.3">
      <c r="A198"/>
      <c r="B198"/>
      <c r="C198"/>
    </row>
    <row r="199" spans="1:3" x14ac:dyDescent="0.3">
      <c r="A199"/>
      <c r="B199"/>
      <c r="C199"/>
    </row>
    <row r="200" spans="1:3" x14ac:dyDescent="0.3">
      <c r="A200"/>
      <c r="B200"/>
      <c r="C200"/>
    </row>
    <row r="201" spans="1:3" x14ac:dyDescent="0.3">
      <c r="A201"/>
      <c r="B201"/>
      <c r="C201"/>
    </row>
    <row r="202" spans="1:3" x14ac:dyDescent="0.3">
      <c r="A202"/>
      <c r="B202"/>
      <c r="C202"/>
    </row>
    <row r="203" spans="1:3" x14ac:dyDescent="0.3">
      <c r="A203"/>
      <c r="B203"/>
      <c r="C203"/>
    </row>
    <row r="204" spans="1:3" x14ac:dyDescent="0.3">
      <c r="A204"/>
      <c r="B204"/>
      <c r="C204"/>
    </row>
    <row r="205" spans="1:3" x14ac:dyDescent="0.3">
      <c r="A205"/>
      <c r="B205"/>
      <c r="C205"/>
    </row>
    <row r="206" spans="1:3" x14ac:dyDescent="0.3">
      <c r="A206"/>
      <c r="B206"/>
      <c r="C206"/>
    </row>
    <row r="207" spans="1:3" x14ac:dyDescent="0.3">
      <c r="A207"/>
      <c r="B207"/>
      <c r="C207"/>
    </row>
    <row r="208" spans="1:3" x14ac:dyDescent="0.3">
      <c r="A208"/>
      <c r="B208"/>
      <c r="C208"/>
    </row>
    <row r="209" spans="1:3" x14ac:dyDescent="0.3">
      <c r="A209"/>
      <c r="B209"/>
      <c r="C209"/>
    </row>
    <row r="210" spans="1:3" x14ac:dyDescent="0.3">
      <c r="A210"/>
      <c r="B210"/>
      <c r="C210"/>
    </row>
    <row r="211" spans="1:3" x14ac:dyDescent="0.3">
      <c r="A211"/>
      <c r="B211"/>
      <c r="C211"/>
    </row>
    <row r="212" spans="1:3" x14ac:dyDescent="0.3">
      <c r="A212"/>
      <c r="B212"/>
      <c r="C212"/>
    </row>
    <row r="213" spans="1:3" x14ac:dyDescent="0.3">
      <c r="A213"/>
      <c r="B213"/>
      <c r="C213"/>
    </row>
    <row r="214" spans="1:3" x14ac:dyDescent="0.3">
      <c r="A214"/>
      <c r="B214"/>
      <c r="C214"/>
    </row>
    <row r="215" spans="1:3" x14ac:dyDescent="0.3">
      <c r="A215"/>
      <c r="B215"/>
      <c r="C215"/>
    </row>
    <row r="216" spans="1:3" x14ac:dyDescent="0.3">
      <c r="A216"/>
      <c r="B216"/>
      <c r="C216"/>
    </row>
    <row r="217" spans="1:3" x14ac:dyDescent="0.3">
      <c r="A217"/>
      <c r="B217"/>
      <c r="C217"/>
    </row>
    <row r="218" spans="1:3" x14ac:dyDescent="0.3">
      <c r="A218"/>
      <c r="B218"/>
      <c r="C218"/>
    </row>
    <row r="219" spans="1:3" x14ac:dyDescent="0.3">
      <c r="A219"/>
      <c r="B219"/>
      <c r="C219"/>
    </row>
    <row r="220" spans="1:3" x14ac:dyDescent="0.3">
      <c r="A220"/>
      <c r="B220"/>
      <c r="C220"/>
    </row>
    <row r="221" spans="1:3" x14ac:dyDescent="0.3">
      <c r="A221"/>
      <c r="B221"/>
      <c r="C221"/>
    </row>
    <row r="222" spans="1:3" x14ac:dyDescent="0.3">
      <c r="A222"/>
      <c r="B222"/>
      <c r="C222"/>
    </row>
    <row r="223" spans="1:3" x14ac:dyDescent="0.3">
      <c r="A223"/>
      <c r="B223"/>
      <c r="C223"/>
    </row>
    <row r="224" spans="1:3" x14ac:dyDescent="0.3">
      <c r="A224"/>
      <c r="B224"/>
      <c r="C224"/>
    </row>
    <row r="225" spans="1:3" x14ac:dyDescent="0.3">
      <c r="A225"/>
      <c r="B225"/>
      <c r="C225"/>
    </row>
    <row r="226" spans="1:3" x14ac:dyDescent="0.3">
      <c r="A226"/>
      <c r="B226"/>
      <c r="C226"/>
    </row>
    <row r="227" spans="1:3" x14ac:dyDescent="0.3">
      <c r="A227"/>
      <c r="B227"/>
      <c r="C227"/>
    </row>
    <row r="228" spans="1:3" x14ac:dyDescent="0.3">
      <c r="A228"/>
      <c r="B228"/>
      <c r="C228"/>
    </row>
    <row r="229" spans="1:3" x14ac:dyDescent="0.3">
      <c r="A229"/>
      <c r="B229"/>
      <c r="C229"/>
    </row>
    <row r="230" spans="1:3" x14ac:dyDescent="0.3">
      <c r="A230"/>
      <c r="B230"/>
      <c r="C230"/>
    </row>
    <row r="231" spans="1:3" x14ac:dyDescent="0.3">
      <c r="A231"/>
      <c r="B231"/>
      <c r="C231"/>
    </row>
    <row r="232" spans="1:3" x14ac:dyDescent="0.3">
      <c r="A232"/>
      <c r="B232"/>
      <c r="C232"/>
    </row>
    <row r="233" spans="1:3" x14ac:dyDescent="0.3">
      <c r="A233"/>
      <c r="B233"/>
      <c r="C233"/>
    </row>
    <row r="234" spans="1:3" x14ac:dyDescent="0.3">
      <c r="A234"/>
      <c r="B234"/>
      <c r="C234"/>
    </row>
    <row r="235" spans="1:3" x14ac:dyDescent="0.3">
      <c r="A235"/>
      <c r="B235"/>
      <c r="C235"/>
    </row>
    <row r="236" spans="1:3" x14ac:dyDescent="0.3">
      <c r="A236"/>
      <c r="B236"/>
      <c r="C236"/>
    </row>
    <row r="237" spans="1:3" x14ac:dyDescent="0.3">
      <c r="A237"/>
      <c r="B237"/>
      <c r="C237"/>
    </row>
    <row r="238" spans="1:3" x14ac:dyDescent="0.3">
      <c r="A238"/>
      <c r="B238"/>
      <c r="C238"/>
    </row>
    <row r="239" spans="1:3" x14ac:dyDescent="0.3">
      <c r="A239"/>
      <c r="B239"/>
      <c r="C239"/>
    </row>
    <row r="240" spans="1:3" x14ac:dyDescent="0.3">
      <c r="A240"/>
      <c r="B240"/>
      <c r="C240"/>
    </row>
    <row r="241" spans="1:3" x14ac:dyDescent="0.3">
      <c r="A241"/>
      <c r="B241"/>
      <c r="C241"/>
    </row>
    <row r="242" spans="1:3" x14ac:dyDescent="0.3">
      <c r="A242"/>
      <c r="B242"/>
      <c r="C242"/>
    </row>
    <row r="243" spans="1:3" x14ac:dyDescent="0.3">
      <c r="A243"/>
      <c r="B243"/>
      <c r="C243"/>
    </row>
    <row r="244" spans="1:3" x14ac:dyDescent="0.3">
      <c r="A244"/>
      <c r="B244"/>
      <c r="C244"/>
    </row>
    <row r="245" spans="1:3" x14ac:dyDescent="0.3">
      <c r="A245"/>
      <c r="B245"/>
      <c r="C245"/>
    </row>
    <row r="246" spans="1:3" x14ac:dyDescent="0.3">
      <c r="A246"/>
      <c r="B246"/>
      <c r="C246"/>
    </row>
    <row r="247" spans="1:3" x14ac:dyDescent="0.3">
      <c r="A247"/>
      <c r="B247"/>
      <c r="C247"/>
    </row>
    <row r="248" spans="1:3" x14ac:dyDescent="0.3">
      <c r="A248"/>
      <c r="B248"/>
      <c r="C248"/>
    </row>
    <row r="249" spans="1:3" x14ac:dyDescent="0.3">
      <c r="A249"/>
      <c r="B249"/>
      <c r="C249"/>
    </row>
    <row r="250" spans="1:3" x14ac:dyDescent="0.3">
      <c r="A250"/>
      <c r="B250"/>
      <c r="C250"/>
    </row>
    <row r="251" spans="1:3" x14ac:dyDescent="0.3">
      <c r="A251"/>
      <c r="B251"/>
      <c r="C251"/>
    </row>
    <row r="252" spans="1:3" x14ac:dyDescent="0.3">
      <c r="A252"/>
      <c r="B252"/>
      <c r="C252"/>
    </row>
    <row r="253" spans="1:3" x14ac:dyDescent="0.3">
      <c r="A253"/>
      <c r="B253"/>
      <c r="C253"/>
    </row>
    <row r="254" spans="1:3" x14ac:dyDescent="0.3">
      <c r="A254"/>
      <c r="B254"/>
      <c r="C254"/>
    </row>
    <row r="255" spans="1:3" x14ac:dyDescent="0.3">
      <c r="A255"/>
      <c r="B255"/>
      <c r="C255"/>
    </row>
    <row r="256" spans="1:3" x14ac:dyDescent="0.3">
      <c r="A256"/>
      <c r="B256"/>
      <c r="C256"/>
    </row>
    <row r="257" spans="1:3" x14ac:dyDescent="0.3">
      <c r="A257"/>
      <c r="B257"/>
      <c r="C257"/>
    </row>
    <row r="258" spans="1:3" x14ac:dyDescent="0.3">
      <c r="A258"/>
      <c r="B258"/>
      <c r="C258"/>
    </row>
    <row r="259" spans="1:3" x14ac:dyDescent="0.3">
      <c r="A259"/>
      <c r="B259"/>
      <c r="C259"/>
    </row>
    <row r="260" spans="1:3" x14ac:dyDescent="0.3">
      <c r="A260"/>
      <c r="B260"/>
      <c r="C260"/>
    </row>
    <row r="261" spans="1:3" x14ac:dyDescent="0.3">
      <c r="A261"/>
      <c r="B261"/>
      <c r="C261"/>
    </row>
    <row r="262" spans="1:3" x14ac:dyDescent="0.3">
      <c r="A262"/>
      <c r="B262"/>
      <c r="C262"/>
    </row>
    <row r="263" spans="1:3" x14ac:dyDescent="0.3">
      <c r="A263"/>
      <c r="B263"/>
      <c r="C263"/>
    </row>
    <row r="264" spans="1:3" x14ac:dyDescent="0.3">
      <c r="A264"/>
      <c r="B264"/>
      <c r="C264"/>
    </row>
    <row r="265" spans="1:3" x14ac:dyDescent="0.3">
      <c r="A265"/>
      <c r="B265"/>
      <c r="C265"/>
    </row>
    <row r="266" spans="1:3" x14ac:dyDescent="0.3">
      <c r="A266"/>
      <c r="B266"/>
      <c r="C266"/>
    </row>
    <row r="267" spans="1:3" x14ac:dyDescent="0.3">
      <c r="A267"/>
      <c r="B267"/>
      <c r="C267"/>
    </row>
    <row r="268" spans="1:3" x14ac:dyDescent="0.3">
      <c r="A268"/>
      <c r="B268"/>
      <c r="C268"/>
    </row>
    <row r="269" spans="1:3" x14ac:dyDescent="0.3">
      <c r="A269"/>
      <c r="B269"/>
      <c r="C269"/>
    </row>
    <row r="270" spans="1:3" x14ac:dyDescent="0.3">
      <c r="A270"/>
      <c r="B270"/>
      <c r="C270"/>
    </row>
    <row r="271" spans="1:3" x14ac:dyDescent="0.3">
      <c r="A271"/>
      <c r="B271"/>
      <c r="C271"/>
    </row>
    <row r="272" spans="1:3" x14ac:dyDescent="0.3">
      <c r="A272"/>
      <c r="B272"/>
      <c r="C272"/>
    </row>
    <row r="273" spans="1:3" x14ac:dyDescent="0.3">
      <c r="A273"/>
      <c r="B273"/>
      <c r="C273"/>
    </row>
    <row r="274" spans="1:3" x14ac:dyDescent="0.3">
      <c r="A274"/>
      <c r="B274"/>
      <c r="C274"/>
    </row>
    <row r="275" spans="1:3" x14ac:dyDescent="0.3">
      <c r="A275"/>
      <c r="B275"/>
      <c r="C275"/>
    </row>
    <row r="276" spans="1:3" x14ac:dyDescent="0.3">
      <c r="A276"/>
      <c r="B276"/>
      <c r="C276"/>
    </row>
    <row r="277" spans="1:3" x14ac:dyDescent="0.3">
      <c r="A277"/>
      <c r="B277"/>
      <c r="C277"/>
    </row>
    <row r="278" spans="1:3" x14ac:dyDescent="0.3">
      <c r="A278"/>
      <c r="B278"/>
      <c r="C278"/>
    </row>
    <row r="279" spans="1:3" x14ac:dyDescent="0.3">
      <c r="A279"/>
      <c r="B279"/>
      <c r="C279"/>
    </row>
    <row r="280" spans="1:3" x14ac:dyDescent="0.3">
      <c r="A280"/>
      <c r="B280"/>
      <c r="C280"/>
    </row>
    <row r="281" spans="1:3" x14ac:dyDescent="0.3">
      <c r="A281"/>
      <c r="B281"/>
      <c r="C281"/>
    </row>
    <row r="282" spans="1:3" x14ac:dyDescent="0.3">
      <c r="A282"/>
      <c r="B282"/>
      <c r="C282"/>
    </row>
    <row r="283" spans="1:3" x14ac:dyDescent="0.3">
      <c r="A283"/>
      <c r="B283"/>
      <c r="C283"/>
    </row>
    <row r="284" spans="1:3" x14ac:dyDescent="0.3">
      <c r="A284"/>
      <c r="B284"/>
      <c r="C284"/>
    </row>
    <row r="285" spans="1:3" x14ac:dyDescent="0.3">
      <c r="A285"/>
      <c r="B285"/>
      <c r="C285"/>
    </row>
    <row r="286" spans="1:3" x14ac:dyDescent="0.3">
      <c r="A286"/>
      <c r="B286"/>
      <c r="C286"/>
    </row>
    <row r="287" spans="1:3" x14ac:dyDescent="0.3">
      <c r="A287"/>
      <c r="B287"/>
      <c r="C287"/>
    </row>
    <row r="288" spans="1:3" x14ac:dyDescent="0.3">
      <c r="A288"/>
      <c r="B288"/>
      <c r="C288"/>
    </row>
    <row r="289" spans="1:3" x14ac:dyDescent="0.3">
      <c r="A289"/>
      <c r="B289"/>
      <c r="C289"/>
    </row>
    <row r="290" spans="1:3" x14ac:dyDescent="0.3">
      <c r="A290"/>
      <c r="B290"/>
      <c r="C290"/>
    </row>
    <row r="291" spans="1:3" x14ac:dyDescent="0.3">
      <c r="A291"/>
      <c r="B291"/>
      <c r="C291"/>
    </row>
    <row r="292" spans="1:3" x14ac:dyDescent="0.3">
      <c r="A292"/>
      <c r="B292"/>
      <c r="C292"/>
    </row>
    <row r="293" spans="1:3" x14ac:dyDescent="0.3">
      <c r="A293"/>
      <c r="B293"/>
      <c r="C293"/>
    </row>
    <row r="294" spans="1:3" x14ac:dyDescent="0.3">
      <c r="A294"/>
      <c r="B294"/>
      <c r="C294"/>
    </row>
    <row r="295" spans="1:3" x14ac:dyDescent="0.3">
      <c r="A295"/>
      <c r="B295"/>
      <c r="C295"/>
    </row>
    <row r="296" spans="1:3" x14ac:dyDescent="0.3">
      <c r="A296"/>
      <c r="B296"/>
      <c r="C296"/>
    </row>
    <row r="297" spans="1:3" x14ac:dyDescent="0.3">
      <c r="A297"/>
      <c r="B297"/>
      <c r="C297"/>
    </row>
    <row r="298" spans="1:3" x14ac:dyDescent="0.3">
      <c r="A298"/>
      <c r="B298"/>
      <c r="C298"/>
    </row>
    <row r="299" spans="1:3" x14ac:dyDescent="0.3">
      <c r="A299"/>
      <c r="B299"/>
      <c r="C299"/>
    </row>
    <row r="300" spans="1:3" x14ac:dyDescent="0.3">
      <c r="A300"/>
      <c r="B300"/>
      <c r="C300"/>
    </row>
    <row r="301" spans="1:3" x14ac:dyDescent="0.3">
      <c r="A301"/>
      <c r="B301"/>
      <c r="C301"/>
    </row>
    <row r="302" spans="1:3" x14ac:dyDescent="0.3">
      <c r="A302"/>
      <c r="B302"/>
      <c r="C302"/>
    </row>
    <row r="303" spans="1:3" x14ac:dyDescent="0.3">
      <c r="A303"/>
      <c r="B303"/>
      <c r="C303"/>
    </row>
    <row r="304" spans="1:3" x14ac:dyDescent="0.3">
      <c r="A304"/>
      <c r="B304"/>
      <c r="C304"/>
    </row>
    <row r="305" spans="1:3" x14ac:dyDescent="0.3">
      <c r="A305"/>
      <c r="B305"/>
      <c r="C305"/>
    </row>
    <row r="306" spans="1:3" x14ac:dyDescent="0.3">
      <c r="A306"/>
      <c r="B306"/>
      <c r="C306"/>
    </row>
    <row r="307" spans="1:3" x14ac:dyDescent="0.3">
      <c r="A307"/>
      <c r="B307"/>
      <c r="C307"/>
    </row>
    <row r="308" spans="1:3" x14ac:dyDescent="0.3">
      <c r="A308"/>
      <c r="B308"/>
      <c r="C308"/>
    </row>
    <row r="309" spans="1:3" x14ac:dyDescent="0.3">
      <c r="A309"/>
      <c r="B309"/>
      <c r="C309"/>
    </row>
    <row r="310" spans="1:3" x14ac:dyDescent="0.3">
      <c r="A310"/>
      <c r="B310"/>
      <c r="C310"/>
    </row>
    <row r="311" spans="1:3" x14ac:dyDescent="0.3">
      <c r="A311"/>
      <c r="B311"/>
      <c r="C311"/>
    </row>
    <row r="312" spans="1:3" x14ac:dyDescent="0.3">
      <c r="A312"/>
      <c r="B312"/>
      <c r="C312"/>
    </row>
    <row r="313" spans="1:3" x14ac:dyDescent="0.3">
      <c r="A313"/>
      <c r="B313"/>
      <c r="C313"/>
    </row>
    <row r="314" spans="1:3" x14ac:dyDescent="0.3">
      <c r="A314"/>
      <c r="B314"/>
      <c r="C314"/>
    </row>
    <row r="315" spans="1:3" x14ac:dyDescent="0.3">
      <c r="A315"/>
      <c r="B315"/>
      <c r="C315"/>
    </row>
    <row r="316" spans="1:3" x14ac:dyDescent="0.3">
      <c r="A316"/>
      <c r="B316"/>
      <c r="C316"/>
    </row>
    <row r="317" spans="1:3" x14ac:dyDescent="0.3">
      <c r="A317"/>
      <c r="B317"/>
      <c r="C317"/>
    </row>
    <row r="318" spans="1:3" x14ac:dyDescent="0.3">
      <c r="A318"/>
      <c r="B318"/>
      <c r="C318"/>
    </row>
    <row r="319" spans="1:3" x14ac:dyDescent="0.3">
      <c r="A319"/>
      <c r="B319"/>
      <c r="C319"/>
    </row>
    <row r="320" spans="1:3" x14ac:dyDescent="0.3">
      <c r="A320"/>
      <c r="B320"/>
      <c r="C320"/>
    </row>
    <row r="321" spans="1:3" x14ac:dyDescent="0.3">
      <c r="A321"/>
      <c r="B321"/>
      <c r="C321"/>
    </row>
    <row r="322" spans="1:3" x14ac:dyDescent="0.3">
      <c r="A322"/>
      <c r="B322"/>
      <c r="C322"/>
    </row>
    <row r="323" spans="1:3" x14ac:dyDescent="0.3">
      <c r="A323"/>
      <c r="B323"/>
      <c r="C323"/>
    </row>
    <row r="324" spans="1:3" x14ac:dyDescent="0.3">
      <c r="A324"/>
      <c r="B324"/>
      <c r="C324"/>
    </row>
    <row r="325" spans="1:3" x14ac:dyDescent="0.3">
      <c r="A325"/>
      <c r="B325"/>
      <c r="C325"/>
    </row>
    <row r="326" spans="1:3" x14ac:dyDescent="0.3">
      <c r="A326"/>
      <c r="B326"/>
      <c r="C326"/>
    </row>
    <row r="327" spans="1:3" x14ac:dyDescent="0.3">
      <c r="A327"/>
      <c r="B327"/>
      <c r="C327"/>
    </row>
    <row r="328" spans="1:3" x14ac:dyDescent="0.3">
      <c r="A328"/>
      <c r="B328"/>
      <c r="C328"/>
    </row>
    <row r="329" spans="1:3" x14ac:dyDescent="0.3">
      <c r="A329"/>
      <c r="B329"/>
      <c r="C329"/>
    </row>
    <row r="330" spans="1:3" x14ac:dyDescent="0.3">
      <c r="A330"/>
      <c r="B330"/>
      <c r="C330"/>
    </row>
    <row r="331" spans="1:3" x14ac:dyDescent="0.3">
      <c r="A331"/>
      <c r="B331"/>
      <c r="C331"/>
    </row>
    <row r="332" spans="1:3" x14ac:dyDescent="0.3">
      <c r="A332"/>
      <c r="B332"/>
      <c r="C332"/>
    </row>
    <row r="333" spans="1:3" x14ac:dyDescent="0.3">
      <c r="A333"/>
      <c r="B333"/>
      <c r="C333"/>
    </row>
    <row r="334" spans="1:3" x14ac:dyDescent="0.3">
      <c r="A334"/>
      <c r="B334"/>
      <c r="C334"/>
    </row>
    <row r="335" spans="1:3" x14ac:dyDescent="0.3">
      <c r="A335"/>
      <c r="B335"/>
      <c r="C335"/>
    </row>
    <row r="336" spans="1:3" x14ac:dyDescent="0.3">
      <c r="A336"/>
      <c r="B336"/>
      <c r="C336"/>
    </row>
    <row r="337" spans="1:3" x14ac:dyDescent="0.3">
      <c r="A337"/>
      <c r="B337"/>
      <c r="C337"/>
    </row>
    <row r="338" spans="1:3" x14ac:dyDescent="0.3">
      <c r="A338"/>
      <c r="B338"/>
      <c r="C338"/>
    </row>
    <row r="339" spans="1:3" x14ac:dyDescent="0.3">
      <c r="A339"/>
      <c r="B339"/>
      <c r="C339"/>
    </row>
    <row r="340" spans="1:3" x14ac:dyDescent="0.3">
      <c r="A340"/>
      <c r="B340"/>
      <c r="C340"/>
    </row>
    <row r="341" spans="1:3" x14ac:dyDescent="0.3">
      <c r="A341"/>
      <c r="B341"/>
      <c r="C341"/>
    </row>
    <row r="342" spans="1:3" x14ac:dyDescent="0.3">
      <c r="A342"/>
      <c r="B342"/>
      <c r="C342"/>
    </row>
    <row r="343" spans="1:3" x14ac:dyDescent="0.3">
      <c r="A343"/>
      <c r="B343"/>
      <c r="C343"/>
    </row>
    <row r="344" spans="1:3" x14ac:dyDescent="0.3">
      <c r="A344"/>
      <c r="B344"/>
      <c r="C344"/>
    </row>
    <row r="345" spans="1:3" x14ac:dyDescent="0.3">
      <c r="A345"/>
      <c r="B345"/>
      <c r="C345"/>
    </row>
    <row r="346" spans="1:3" x14ac:dyDescent="0.3">
      <c r="A346"/>
      <c r="B346"/>
      <c r="C346"/>
    </row>
    <row r="347" spans="1:3" x14ac:dyDescent="0.3">
      <c r="A347"/>
      <c r="B347"/>
      <c r="C347"/>
    </row>
    <row r="348" spans="1:3" x14ac:dyDescent="0.3">
      <c r="A348"/>
      <c r="B348"/>
      <c r="C348"/>
    </row>
    <row r="349" spans="1:3" x14ac:dyDescent="0.3">
      <c r="A349"/>
      <c r="B349"/>
      <c r="C349"/>
    </row>
    <row r="350" spans="1:3" x14ac:dyDescent="0.3">
      <c r="A350"/>
      <c r="B350"/>
      <c r="C350"/>
    </row>
    <row r="351" spans="1:3" x14ac:dyDescent="0.3">
      <c r="A351"/>
      <c r="B351"/>
      <c r="C351"/>
    </row>
    <row r="352" spans="1:3" x14ac:dyDescent="0.3">
      <c r="A352"/>
      <c r="B352"/>
      <c r="C352"/>
    </row>
    <row r="353" spans="1:3" x14ac:dyDescent="0.3">
      <c r="A353"/>
      <c r="B353"/>
      <c r="C353"/>
    </row>
    <row r="354" spans="1:3" x14ac:dyDescent="0.3">
      <c r="A354"/>
      <c r="B354"/>
      <c r="C354"/>
    </row>
    <row r="355" spans="1:3" x14ac:dyDescent="0.3">
      <c r="A355"/>
      <c r="B355"/>
      <c r="C355"/>
    </row>
    <row r="356" spans="1:3" x14ac:dyDescent="0.3">
      <c r="A356"/>
      <c r="B356"/>
      <c r="C356"/>
    </row>
    <row r="357" spans="1:3" x14ac:dyDescent="0.3">
      <c r="A357"/>
      <c r="B357"/>
      <c r="C357"/>
    </row>
    <row r="358" spans="1:3" x14ac:dyDescent="0.3">
      <c r="A358"/>
      <c r="B358"/>
      <c r="C358"/>
    </row>
    <row r="359" spans="1:3" x14ac:dyDescent="0.3">
      <c r="A359"/>
      <c r="B359"/>
      <c r="C359"/>
    </row>
    <row r="360" spans="1:3" x14ac:dyDescent="0.3">
      <c r="A360"/>
      <c r="B360"/>
      <c r="C360"/>
    </row>
    <row r="361" spans="1:3" x14ac:dyDescent="0.3">
      <c r="A361"/>
      <c r="B361"/>
      <c r="C361"/>
    </row>
    <row r="362" spans="1:3" x14ac:dyDescent="0.3">
      <c r="A362"/>
      <c r="B362"/>
      <c r="C362"/>
    </row>
    <row r="363" spans="1:3" x14ac:dyDescent="0.3">
      <c r="A363"/>
      <c r="B363"/>
      <c r="C363"/>
    </row>
    <row r="364" spans="1:3" x14ac:dyDescent="0.3">
      <c r="A364"/>
      <c r="B364"/>
      <c r="C364"/>
    </row>
    <row r="365" spans="1:3" x14ac:dyDescent="0.3">
      <c r="A365"/>
      <c r="B365"/>
      <c r="C365"/>
    </row>
    <row r="366" spans="1:3" x14ac:dyDescent="0.3">
      <c r="A366"/>
      <c r="B366"/>
      <c r="C366"/>
    </row>
    <row r="367" spans="1:3" x14ac:dyDescent="0.3">
      <c r="A367"/>
      <c r="B367"/>
      <c r="C367"/>
    </row>
    <row r="368" spans="1:3" x14ac:dyDescent="0.3">
      <c r="A368"/>
      <c r="B368"/>
      <c r="C368"/>
    </row>
    <row r="369" spans="1:3" x14ac:dyDescent="0.3">
      <c r="A369"/>
      <c r="B369"/>
      <c r="C369"/>
    </row>
    <row r="370" spans="1:3" x14ac:dyDescent="0.3">
      <c r="A370"/>
      <c r="B370"/>
      <c r="C370"/>
    </row>
    <row r="371" spans="1:3" x14ac:dyDescent="0.3">
      <c r="A371"/>
      <c r="B371"/>
      <c r="C371"/>
    </row>
    <row r="372" spans="1:3" x14ac:dyDescent="0.3">
      <c r="A372"/>
      <c r="B372"/>
      <c r="C372"/>
    </row>
    <row r="373" spans="1:3" x14ac:dyDescent="0.3">
      <c r="A373"/>
      <c r="B373"/>
      <c r="C373"/>
    </row>
    <row r="374" spans="1:3" x14ac:dyDescent="0.3">
      <c r="A374"/>
      <c r="B374"/>
      <c r="C374"/>
    </row>
    <row r="375" spans="1:3" x14ac:dyDescent="0.3">
      <c r="A375"/>
      <c r="B375"/>
      <c r="C375"/>
    </row>
    <row r="376" spans="1:3" x14ac:dyDescent="0.3">
      <c r="A376"/>
      <c r="B376"/>
      <c r="C376"/>
    </row>
    <row r="377" spans="1:3" x14ac:dyDescent="0.3">
      <c r="A377"/>
      <c r="B377"/>
      <c r="C377"/>
    </row>
    <row r="378" spans="1:3" x14ac:dyDescent="0.3">
      <c r="A378"/>
      <c r="B378"/>
      <c r="C378"/>
    </row>
    <row r="379" spans="1:3" x14ac:dyDescent="0.3">
      <c r="A379"/>
      <c r="B379"/>
      <c r="C379"/>
    </row>
    <row r="380" spans="1:3" x14ac:dyDescent="0.3">
      <c r="A380"/>
      <c r="B380"/>
      <c r="C380"/>
    </row>
    <row r="381" spans="1:3" x14ac:dyDescent="0.3">
      <c r="A381"/>
      <c r="B381"/>
      <c r="C381"/>
    </row>
    <row r="382" spans="1:3" x14ac:dyDescent="0.3">
      <c r="A382"/>
      <c r="B382"/>
      <c r="C382"/>
    </row>
    <row r="383" spans="1:3" x14ac:dyDescent="0.3">
      <c r="A383"/>
      <c r="B383"/>
      <c r="C383"/>
    </row>
    <row r="384" spans="1:3" x14ac:dyDescent="0.3">
      <c r="A384"/>
      <c r="B384"/>
      <c r="C384"/>
    </row>
    <row r="385" spans="1:3" x14ac:dyDescent="0.3">
      <c r="A385"/>
      <c r="B385"/>
      <c r="C385"/>
    </row>
    <row r="386" spans="1:3" x14ac:dyDescent="0.3">
      <c r="A386"/>
      <c r="B386"/>
      <c r="C386"/>
    </row>
    <row r="387" spans="1:3" x14ac:dyDescent="0.3">
      <c r="A387"/>
      <c r="B387"/>
      <c r="C387"/>
    </row>
    <row r="388" spans="1:3" x14ac:dyDescent="0.3">
      <c r="A388"/>
      <c r="B388"/>
      <c r="C388"/>
    </row>
    <row r="389" spans="1:3" x14ac:dyDescent="0.3">
      <c r="A389"/>
      <c r="B389"/>
      <c r="C389"/>
    </row>
    <row r="390" spans="1:3" x14ac:dyDescent="0.3">
      <c r="A390"/>
      <c r="B390"/>
      <c r="C390"/>
    </row>
    <row r="391" spans="1:3" x14ac:dyDescent="0.3">
      <c r="A391"/>
      <c r="B391"/>
      <c r="C391"/>
    </row>
    <row r="392" spans="1:3" x14ac:dyDescent="0.3">
      <c r="A392"/>
      <c r="B392"/>
      <c r="C392"/>
    </row>
    <row r="393" spans="1:3" x14ac:dyDescent="0.3">
      <c r="A393"/>
      <c r="B393"/>
      <c r="C393"/>
    </row>
    <row r="394" spans="1:3" x14ac:dyDescent="0.3">
      <c r="A394"/>
      <c r="B394"/>
      <c r="C394"/>
    </row>
    <row r="395" spans="1:3" x14ac:dyDescent="0.3">
      <c r="A395"/>
      <c r="B395"/>
      <c r="C395"/>
    </row>
    <row r="396" spans="1:3" x14ac:dyDescent="0.3">
      <c r="A396"/>
      <c r="B396"/>
      <c r="C396"/>
    </row>
    <row r="397" spans="1:3" x14ac:dyDescent="0.3">
      <c r="A397"/>
      <c r="B397"/>
      <c r="C397"/>
    </row>
    <row r="398" spans="1:3" x14ac:dyDescent="0.3">
      <c r="A398"/>
      <c r="B398"/>
      <c r="C398"/>
    </row>
    <row r="399" spans="1:3" x14ac:dyDescent="0.3">
      <c r="A399"/>
      <c r="B399"/>
      <c r="C399"/>
    </row>
    <row r="400" spans="1:3" x14ac:dyDescent="0.3">
      <c r="A400"/>
      <c r="B400"/>
      <c r="C400"/>
    </row>
    <row r="401" spans="1:3" x14ac:dyDescent="0.3">
      <c r="A401"/>
      <c r="B401"/>
      <c r="C401"/>
    </row>
    <row r="402" spans="1:3" x14ac:dyDescent="0.3">
      <c r="A402"/>
      <c r="B402"/>
      <c r="C402"/>
    </row>
    <row r="403" spans="1:3" x14ac:dyDescent="0.3">
      <c r="A403"/>
      <c r="B403"/>
      <c r="C403"/>
    </row>
    <row r="404" spans="1:3" x14ac:dyDescent="0.3">
      <c r="A404"/>
      <c r="B404"/>
      <c r="C404"/>
    </row>
    <row r="405" spans="1:3" x14ac:dyDescent="0.3">
      <c r="A405"/>
      <c r="B405"/>
      <c r="C405"/>
    </row>
    <row r="406" spans="1:3" x14ac:dyDescent="0.3">
      <c r="A406"/>
      <c r="B406"/>
      <c r="C406"/>
    </row>
    <row r="407" spans="1:3" x14ac:dyDescent="0.3">
      <c r="A407"/>
      <c r="B407"/>
      <c r="C407"/>
    </row>
    <row r="408" spans="1:3" x14ac:dyDescent="0.3">
      <c r="A408"/>
      <c r="B408"/>
      <c r="C408"/>
    </row>
    <row r="409" spans="1:3" x14ac:dyDescent="0.3">
      <c r="A409"/>
      <c r="B409"/>
      <c r="C409"/>
    </row>
    <row r="410" spans="1:3" x14ac:dyDescent="0.3">
      <c r="A410"/>
      <c r="B410"/>
      <c r="C410"/>
    </row>
    <row r="411" spans="1:3" x14ac:dyDescent="0.3">
      <c r="A411"/>
      <c r="B411"/>
      <c r="C411"/>
    </row>
    <row r="412" spans="1:3" x14ac:dyDescent="0.3">
      <c r="A412"/>
      <c r="B412"/>
      <c r="C412"/>
    </row>
    <row r="413" spans="1:3" x14ac:dyDescent="0.3">
      <c r="A413"/>
      <c r="B413"/>
      <c r="C413"/>
    </row>
    <row r="414" spans="1:3" x14ac:dyDescent="0.3">
      <c r="A414"/>
      <c r="B414"/>
      <c r="C414"/>
    </row>
    <row r="415" spans="1:3" x14ac:dyDescent="0.3">
      <c r="A415"/>
      <c r="B415"/>
      <c r="C415"/>
    </row>
    <row r="416" spans="1:3" x14ac:dyDescent="0.3">
      <c r="A416"/>
      <c r="B416"/>
      <c r="C416"/>
    </row>
    <row r="417" spans="1:3" x14ac:dyDescent="0.3">
      <c r="A417"/>
      <c r="B417"/>
      <c r="C417"/>
    </row>
    <row r="418" spans="1:3" x14ac:dyDescent="0.3">
      <c r="A418"/>
      <c r="B418"/>
      <c r="C418"/>
    </row>
    <row r="419" spans="1:3" x14ac:dyDescent="0.3">
      <c r="A419"/>
      <c r="B419"/>
      <c r="C419"/>
    </row>
    <row r="420" spans="1:3" x14ac:dyDescent="0.3">
      <c r="A420"/>
      <c r="B420"/>
      <c r="C420"/>
    </row>
    <row r="421" spans="1:3" x14ac:dyDescent="0.3">
      <c r="A421"/>
      <c r="B421"/>
      <c r="C421"/>
    </row>
    <row r="422" spans="1:3" x14ac:dyDescent="0.3">
      <c r="A422"/>
      <c r="B422"/>
      <c r="C422"/>
    </row>
    <row r="423" spans="1:3" x14ac:dyDescent="0.3">
      <c r="A423"/>
      <c r="B423"/>
      <c r="C423"/>
    </row>
    <row r="424" spans="1:3" x14ac:dyDescent="0.3">
      <c r="A424"/>
      <c r="B424"/>
      <c r="C424"/>
    </row>
    <row r="425" spans="1:3" x14ac:dyDescent="0.3">
      <c r="A425"/>
      <c r="B425"/>
      <c r="C425"/>
    </row>
    <row r="426" spans="1:3" x14ac:dyDescent="0.3">
      <c r="A426"/>
      <c r="B426"/>
      <c r="C426"/>
    </row>
    <row r="427" spans="1:3" x14ac:dyDescent="0.3">
      <c r="A427"/>
      <c r="B427"/>
      <c r="C427"/>
    </row>
    <row r="428" spans="1:3" x14ac:dyDescent="0.3">
      <c r="A428"/>
      <c r="B428"/>
      <c r="C428"/>
    </row>
    <row r="429" spans="1:3" x14ac:dyDescent="0.3">
      <c r="A429"/>
      <c r="B429"/>
      <c r="C429"/>
    </row>
    <row r="430" spans="1:3" x14ac:dyDescent="0.3">
      <c r="A430"/>
      <c r="B430"/>
      <c r="C430"/>
    </row>
    <row r="431" spans="1:3" x14ac:dyDescent="0.3">
      <c r="A431"/>
      <c r="B431"/>
      <c r="C431"/>
    </row>
    <row r="432" spans="1:3" x14ac:dyDescent="0.3">
      <c r="A432"/>
      <c r="B432"/>
      <c r="C432"/>
    </row>
    <row r="433" spans="1:3" x14ac:dyDescent="0.3">
      <c r="A433"/>
      <c r="B433"/>
      <c r="C433"/>
    </row>
    <row r="434" spans="1:3" x14ac:dyDescent="0.3">
      <c r="A434"/>
      <c r="B434"/>
      <c r="C434"/>
    </row>
    <row r="435" spans="1:3" x14ac:dyDescent="0.3">
      <c r="A435"/>
      <c r="B435"/>
      <c r="C435"/>
    </row>
    <row r="436" spans="1:3" x14ac:dyDescent="0.3">
      <c r="A436"/>
      <c r="B436"/>
      <c r="C436"/>
    </row>
    <row r="437" spans="1:3" x14ac:dyDescent="0.3">
      <c r="A437"/>
      <c r="B437"/>
      <c r="C437"/>
    </row>
    <row r="438" spans="1:3" x14ac:dyDescent="0.3">
      <c r="A438"/>
      <c r="B438"/>
      <c r="C438"/>
    </row>
    <row r="439" spans="1:3" x14ac:dyDescent="0.3">
      <c r="A439"/>
      <c r="B439"/>
      <c r="C439"/>
    </row>
    <row r="440" spans="1:3" x14ac:dyDescent="0.3">
      <c r="A440"/>
      <c r="B440"/>
      <c r="C440"/>
    </row>
    <row r="441" spans="1:3" x14ac:dyDescent="0.3">
      <c r="A441"/>
      <c r="B441"/>
      <c r="C441"/>
    </row>
    <row r="442" spans="1:3" x14ac:dyDescent="0.3">
      <c r="A442"/>
      <c r="B442"/>
      <c r="C442"/>
    </row>
    <row r="443" spans="1:3" x14ac:dyDescent="0.3">
      <c r="A443"/>
      <c r="B443"/>
      <c r="C443"/>
    </row>
    <row r="444" spans="1:3" x14ac:dyDescent="0.3">
      <c r="A444"/>
      <c r="B444"/>
      <c r="C444"/>
    </row>
    <row r="445" spans="1:3" x14ac:dyDescent="0.3">
      <c r="A445"/>
      <c r="B445"/>
      <c r="C445"/>
    </row>
    <row r="446" spans="1:3" x14ac:dyDescent="0.3">
      <c r="A446"/>
      <c r="B446"/>
      <c r="C446"/>
    </row>
    <row r="447" spans="1:3" x14ac:dyDescent="0.3">
      <c r="A447"/>
      <c r="B447"/>
      <c r="C447"/>
    </row>
    <row r="448" spans="1:3" x14ac:dyDescent="0.3">
      <c r="A448"/>
      <c r="B448"/>
      <c r="C448"/>
    </row>
    <row r="449" spans="1:3" x14ac:dyDescent="0.3">
      <c r="A449"/>
      <c r="B449"/>
      <c r="C449"/>
    </row>
    <row r="450" spans="1:3" x14ac:dyDescent="0.3">
      <c r="A450"/>
      <c r="B450"/>
      <c r="C450"/>
    </row>
    <row r="451" spans="1:3" x14ac:dyDescent="0.3">
      <c r="A451"/>
      <c r="B451"/>
      <c r="C451"/>
    </row>
    <row r="452" spans="1:3" x14ac:dyDescent="0.3">
      <c r="A452"/>
      <c r="B452"/>
      <c r="C452"/>
    </row>
    <row r="453" spans="1:3" x14ac:dyDescent="0.3">
      <c r="A453"/>
      <c r="B453"/>
      <c r="C453"/>
    </row>
    <row r="454" spans="1:3" x14ac:dyDescent="0.3">
      <c r="A454"/>
      <c r="B454"/>
      <c r="C454"/>
    </row>
    <row r="455" spans="1:3" x14ac:dyDescent="0.3">
      <c r="A455"/>
      <c r="B455"/>
      <c r="C455"/>
    </row>
    <row r="456" spans="1:3" x14ac:dyDescent="0.3">
      <c r="A456"/>
      <c r="B456"/>
      <c r="C456"/>
    </row>
    <row r="457" spans="1:3" x14ac:dyDescent="0.3">
      <c r="A457"/>
      <c r="B457"/>
      <c r="C457"/>
    </row>
    <row r="458" spans="1:3" x14ac:dyDescent="0.3">
      <c r="A458"/>
      <c r="B458"/>
      <c r="C458"/>
    </row>
    <row r="459" spans="1:3" x14ac:dyDescent="0.3">
      <c r="A459"/>
      <c r="B459"/>
      <c r="C459"/>
    </row>
    <row r="460" spans="1:3" x14ac:dyDescent="0.3">
      <c r="A460"/>
      <c r="B460"/>
      <c r="C460"/>
    </row>
    <row r="461" spans="1:3" x14ac:dyDescent="0.3">
      <c r="A461"/>
      <c r="B461"/>
      <c r="C461"/>
    </row>
    <row r="462" spans="1:3" x14ac:dyDescent="0.3">
      <c r="A462"/>
      <c r="B462"/>
      <c r="C462"/>
    </row>
    <row r="463" spans="1:3" x14ac:dyDescent="0.3">
      <c r="A463"/>
      <c r="B463"/>
      <c r="C463"/>
    </row>
    <row r="464" spans="1:3" x14ac:dyDescent="0.3">
      <c r="A464"/>
      <c r="B464"/>
      <c r="C464"/>
    </row>
    <row r="465" spans="1:3" x14ac:dyDescent="0.3">
      <c r="A465"/>
      <c r="B465"/>
      <c r="C465"/>
    </row>
    <row r="466" spans="1:3" x14ac:dyDescent="0.3">
      <c r="A466"/>
      <c r="B466"/>
      <c r="C466"/>
    </row>
    <row r="467" spans="1:3" x14ac:dyDescent="0.3">
      <c r="A467"/>
      <c r="B467"/>
      <c r="C467"/>
    </row>
    <row r="468" spans="1:3" x14ac:dyDescent="0.3">
      <c r="A468"/>
      <c r="B468"/>
      <c r="C468"/>
    </row>
    <row r="469" spans="1:3" x14ac:dyDescent="0.3">
      <c r="A469"/>
      <c r="B469"/>
      <c r="C469"/>
    </row>
    <row r="470" spans="1:3" x14ac:dyDescent="0.3">
      <c r="A470"/>
      <c r="B470"/>
      <c r="C470"/>
    </row>
    <row r="471" spans="1:3" x14ac:dyDescent="0.3">
      <c r="A471"/>
      <c r="B471"/>
      <c r="C471"/>
    </row>
    <row r="472" spans="1:3" x14ac:dyDescent="0.3">
      <c r="A472"/>
      <c r="B472"/>
      <c r="C472"/>
    </row>
    <row r="473" spans="1:3" x14ac:dyDescent="0.3">
      <c r="A473"/>
      <c r="B473"/>
      <c r="C473"/>
    </row>
    <row r="474" spans="1:3" x14ac:dyDescent="0.3">
      <c r="A474"/>
      <c r="B474"/>
      <c r="C474"/>
    </row>
    <row r="475" spans="1:3" x14ac:dyDescent="0.3">
      <c r="A475"/>
      <c r="B475"/>
      <c r="C475"/>
    </row>
    <row r="476" spans="1:3" x14ac:dyDescent="0.3">
      <c r="A476"/>
      <c r="B476"/>
      <c r="C476"/>
    </row>
    <row r="477" spans="1:3" x14ac:dyDescent="0.3">
      <c r="A477"/>
      <c r="B477"/>
      <c r="C477"/>
    </row>
    <row r="478" spans="1:3" x14ac:dyDescent="0.3">
      <c r="A478"/>
      <c r="B478"/>
      <c r="C478"/>
    </row>
    <row r="479" spans="1:3" x14ac:dyDescent="0.3">
      <c r="A479"/>
      <c r="B479"/>
      <c r="C479"/>
    </row>
    <row r="480" spans="1:3" x14ac:dyDescent="0.3">
      <c r="A480"/>
      <c r="B480"/>
      <c r="C480"/>
    </row>
    <row r="481" spans="1:3" x14ac:dyDescent="0.3">
      <c r="A481"/>
      <c r="B481"/>
      <c r="C481"/>
    </row>
    <row r="482" spans="1:3" x14ac:dyDescent="0.3">
      <c r="A482"/>
      <c r="B482"/>
      <c r="C482"/>
    </row>
    <row r="483" spans="1:3" x14ac:dyDescent="0.3">
      <c r="A483"/>
      <c r="B483"/>
      <c r="C483"/>
    </row>
    <row r="484" spans="1:3" x14ac:dyDescent="0.3">
      <c r="A484"/>
      <c r="B484"/>
      <c r="C484"/>
    </row>
    <row r="485" spans="1:3" x14ac:dyDescent="0.3">
      <c r="A485"/>
      <c r="B485"/>
      <c r="C485"/>
    </row>
    <row r="486" spans="1:3" x14ac:dyDescent="0.3">
      <c r="A486"/>
      <c r="B486"/>
      <c r="C486"/>
    </row>
    <row r="487" spans="1:3" x14ac:dyDescent="0.3">
      <c r="A487"/>
      <c r="B487"/>
      <c r="C487"/>
    </row>
    <row r="488" spans="1:3" x14ac:dyDescent="0.3">
      <c r="A488"/>
      <c r="B488"/>
      <c r="C488"/>
    </row>
    <row r="489" spans="1:3" x14ac:dyDescent="0.3">
      <c r="A489"/>
      <c r="B489"/>
      <c r="C489"/>
    </row>
    <row r="490" spans="1:3" x14ac:dyDescent="0.3">
      <c r="A490"/>
      <c r="B490"/>
      <c r="C490"/>
    </row>
    <row r="491" spans="1:3" x14ac:dyDescent="0.3">
      <c r="A491"/>
      <c r="B491"/>
      <c r="C491"/>
    </row>
    <row r="492" spans="1:3" x14ac:dyDescent="0.3">
      <c r="A492"/>
      <c r="B492"/>
      <c r="C492"/>
    </row>
    <row r="493" spans="1:3" x14ac:dyDescent="0.3">
      <c r="A493"/>
      <c r="B493"/>
      <c r="C493"/>
    </row>
    <row r="494" spans="1:3" x14ac:dyDescent="0.3">
      <c r="A494"/>
      <c r="B494"/>
      <c r="C494"/>
    </row>
    <row r="495" spans="1:3" x14ac:dyDescent="0.3">
      <c r="A495"/>
      <c r="B495"/>
      <c r="C495"/>
    </row>
    <row r="496" spans="1:3" x14ac:dyDescent="0.3">
      <c r="A496"/>
      <c r="B496"/>
      <c r="C496"/>
    </row>
    <row r="497" spans="1:3" x14ac:dyDescent="0.3">
      <c r="A497"/>
      <c r="B497"/>
      <c r="C497"/>
    </row>
    <row r="498" spans="1:3" x14ac:dyDescent="0.3">
      <c r="A498"/>
      <c r="B498"/>
      <c r="C498"/>
    </row>
    <row r="499" spans="1:3" x14ac:dyDescent="0.3">
      <c r="A499"/>
      <c r="B499"/>
      <c r="C499"/>
    </row>
    <row r="500" spans="1:3" x14ac:dyDescent="0.3">
      <c r="A500"/>
      <c r="B500"/>
      <c r="C500"/>
    </row>
    <row r="501" spans="1:3" x14ac:dyDescent="0.3">
      <c r="A501"/>
      <c r="B501"/>
      <c r="C501"/>
    </row>
    <row r="502" spans="1:3" x14ac:dyDescent="0.3">
      <c r="A502"/>
      <c r="B502"/>
      <c r="C502"/>
    </row>
    <row r="503" spans="1:3" x14ac:dyDescent="0.3">
      <c r="A503"/>
      <c r="B503"/>
      <c r="C503"/>
    </row>
    <row r="504" spans="1:3" x14ac:dyDescent="0.3">
      <c r="A504"/>
      <c r="B504"/>
      <c r="C504"/>
    </row>
    <row r="505" spans="1:3" x14ac:dyDescent="0.3">
      <c r="A505"/>
      <c r="B505"/>
      <c r="C505"/>
    </row>
    <row r="506" spans="1:3" x14ac:dyDescent="0.3">
      <c r="A506"/>
      <c r="B506"/>
      <c r="C506"/>
    </row>
    <row r="507" spans="1:3" x14ac:dyDescent="0.3">
      <c r="A507"/>
      <c r="B507"/>
      <c r="C507"/>
    </row>
    <row r="508" spans="1:3" x14ac:dyDescent="0.3">
      <c r="A508"/>
      <c r="B508"/>
      <c r="C508"/>
    </row>
    <row r="509" spans="1:3" x14ac:dyDescent="0.3">
      <c r="A509"/>
      <c r="B509"/>
      <c r="C509"/>
    </row>
    <row r="510" spans="1:3" x14ac:dyDescent="0.3">
      <c r="A510"/>
      <c r="B510"/>
      <c r="C510"/>
    </row>
    <row r="511" spans="1:3" x14ac:dyDescent="0.3">
      <c r="A511"/>
      <c r="B511"/>
      <c r="C511"/>
    </row>
    <row r="512" spans="1:3" x14ac:dyDescent="0.3">
      <c r="A512"/>
      <c r="B512"/>
      <c r="C512"/>
    </row>
    <row r="513" spans="1:3" x14ac:dyDescent="0.3">
      <c r="A513"/>
      <c r="B513"/>
      <c r="C513"/>
    </row>
    <row r="514" spans="1:3" x14ac:dyDescent="0.3">
      <c r="A514"/>
      <c r="B514"/>
      <c r="C514"/>
    </row>
    <row r="515" spans="1:3" x14ac:dyDescent="0.3">
      <c r="A515"/>
      <c r="B515"/>
      <c r="C515"/>
    </row>
    <row r="516" spans="1:3" x14ac:dyDescent="0.3">
      <c r="A516"/>
      <c r="B516"/>
      <c r="C516"/>
    </row>
    <row r="517" spans="1:3" x14ac:dyDescent="0.3">
      <c r="A517"/>
      <c r="B517"/>
      <c r="C517"/>
    </row>
    <row r="518" spans="1:3" x14ac:dyDescent="0.3">
      <c r="A518"/>
      <c r="B518"/>
      <c r="C518"/>
    </row>
    <row r="519" spans="1:3" x14ac:dyDescent="0.3">
      <c r="A519"/>
      <c r="B519"/>
      <c r="C519"/>
    </row>
    <row r="520" spans="1:3" x14ac:dyDescent="0.3">
      <c r="A520"/>
      <c r="B520"/>
      <c r="C520"/>
    </row>
    <row r="521" spans="1:3" x14ac:dyDescent="0.3">
      <c r="A521"/>
      <c r="B521"/>
      <c r="C521"/>
    </row>
    <row r="522" spans="1:3" x14ac:dyDescent="0.3">
      <c r="A522"/>
      <c r="B522"/>
      <c r="C522"/>
    </row>
    <row r="523" spans="1:3" x14ac:dyDescent="0.3">
      <c r="A523"/>
      <c r="B523"/>
      <c r="C523"/>
    </row>
    <row r="524" spans="1:3" x14ac:dyDescent="0.3">
      <c r="A524"/>
      <c r="B524"/>
      <c r="C524"/>
    </row>
    <row r="525" spans="1:3" x14ac:dyDescent="0.3">
      <c r="A525"/>
      <c r="B525"/>
      <c r="C525"/>
    </row>
    <row r="526" spans="1:3" x14ac:dyDescent="0.3">
      <c r="A526"/>
      <c r="B526"/>
      <c r="C526"/>
    </row>
    <row r="527" spans="1:3" x14ac:dyDescent="0.3">
      <c r="A527"/>
      <c r="B527"/>
      <c r="C527"/>
    </row>
    <row r="528" spans="1:3" x14ac:dyDescent="0.3">
      <c r="A528"/>
      <c r="B528"/>
      <c r="C528"/>
    </row>
    <row r="529" spans="1:3" x14ac:dyDescent="0.3">
      <c r="A529"/>
      <c r="B529"/>
      <c r="C529"/>
    </row>
    <row r="530" spans="1:3" x14ac:dyDescent="0.3">
      <c r="A530"/>
      <c r="B530"/>
      <c r="C530"/>
    </row>
    <row r="531" spans="1:3" x14ac:dyDescent="0.3">
      <c r="A531"/>
      <c r="B531"/>
      <c r="C531"/>
    </row>
    <row r="532" spans="1:3" x14ac:dyDescent="0.3">
      <c r="A532"/>
      <c r="B532"/>
      <c r="C532"/>
    </row>
    <row r="533" spans="1:3" x14ac:dyDescent="0.3">
      <c r="A533"/>
      <c r="B533"/>
      <c r="C533"/>
    </row>
    <row r="534" spans="1:3" x14ac:dyDescent="0.3">
      <c r="A534"/>
      <c r="B534"/>
      <c r="C534"/>
    </row>
    <row r="535" spans="1:3" x14ac:dyDescent="0.3">
      <c r="A535"/>
      <c r="B535"/>
      <c r="C535"/>
    </row>
    <row r="536" spans="1:3" x14ac:dyDescent="0.3">
      <c r="A536"/>
      <c r="B536"/>
      <c r="C536"/>
    </row>
    <row r="537" spans="1:3" x14ac:dyDescent="0.3">
      <c r="A537"/>
      <c r="B537"/>
      <c r="C537"/>
    </row>
    <row r="538" spans="1:3" x14ac:dyDescent="0.3">
      <c r="A538"/>
      <c r="B538"/>
      <c r="C538"/>
    </row>
    <row r="539" spans="1:3" x14ac:dyDescent="0.3">
      <c r="A539"/>
      <c r="B539"/>
      <c r="C539"/>
    </row>
    <row r="540" spans="1:3" x14ac:dyDescent="0.3">
      <c r="A540"/>
      <c r="B540"/>
      <c r="C540"/>
    </row>
    <row r="541" spans="1:3" x14ac:dyDescent="0.3">
      <c r="A541"/>
      <c r="B541"/>
      <c r="C541"/>
    </row>
    <row r="542" spans="1:3" x14ac:dyDescent="0.3">
      <c r="A542"/>
      <c r="B542"/>
      <c r="C542"/>
    </row>
    <row r="543" spans="1:3" x14ac:dyDescent="0.3">
      <c r="A543"/>
      <c r="B543"/>
      <c r="C543"/>
    </row>
    <row r="544" spans="1:3" x14ac:dyDescent="0.3">
      <c r="A544"/>
      <c r="B544"/>
      <c r="C544"/>
    </row>
    <row r="545" spans="1:3" x14ac:dyDescent="0.3">
      <c r="A545"/>
      <c r="B545"/>
      <c r="C545"/>
    </row>
    <row r="546" spans="1:3" x14ac:dyDescent="0.3">
      <c r="A546"/>
      <c r="B546"/>
      <c r="C546"/>
    </row>
    <row r="547" spans="1:3" x14ac:dyDescent="0.3">
      <c r="A547"/>
      <c r="B547"/>
      <c r="C547"/>
    </row>
    <row r="548" spans="1:3" x14ac:dyDescent="0.3">
      <c r="A548"/>
      <c r="B548"/>
      <c r="C548"/>
    </row>
    <row r="549" spans="1:3" x14ac:dyDescent="0.3">
      <c r="A549"/>
      <c r="B549"/>
      <c r="C549"/>
    </row>
    <row r="550" spans="1:3" x14ac:dyDescent="0.3">
      <c r="A550"/>
      <c r="B550"/>
      <c r="C550"/>
    </row>
    <row r="551" spans="1:3" x14ac:dyDescent="0.3">
      <c r="A551"/>
      <c r="B551"/>
      <c r="C551"/>
    </row>
    <row r="552" spans="1:3" x14ac:dyDescent="0.3">
      <c r="A552"/>
      <c r="B552"/>
      <c r="C552"/>
    </row>
    <row r="553" spans="1:3" x14ac:dyDescent="0.3">
      <c r="A553"/>
      <c r="B553"/>
      <c r="C553"/>
    </row>
    <row r="554" spans="1:3" x14ac:dyDescent="0.3">
      <c r="A554"/>
      <c r="B554"/>
      <c r="C554"/>
    </row>
    <row r="555" spans="1:3" x14ac:dyDescent="0.3">
      <c r="A555"/>
      <c r="B555"/>
      <c r="C555"/>
    </row>
    <row r="556" spans="1:3" x14ac:dyDescent="0.3">
      <c r="A556"/>
      <c r="B556"/>
      <c r="C556"/>
    </row>
    <row r="557" spans="1:3" x14ac:dyDescent="0.3">
      <c r="A557"/>
      <c r="B557"/>
      <c r="C557"/>
    </row>
    <row r="558" spans="1:3" x14ac:dyDescent="0.3">
      <c r="A558"/>
      <c r="B558"/>
      <c r="C558"/>
    </row>
    <row r="559" spans="1:3" x14ac:dyDescent="0.3">
      <c r="A559"/>
      <c r="B559"/>
      <c r="C559"/>
    </row>
    <row r="560" spans="1:3" x14ac:dyDescent="0.3">
      <c r="A560"/>
      <c r="B560"/>
      <c r="C560"/>
    </row>
    <row r="561" spans="1:3" x14ac:dyDescent="0.3">
      <c r="A561"/>
      <c r="B561"/>
      <c r="C561"/>
    </row>
    <row r="562" spans="1:3" x14ac:dyDescent="0.3">
      <c r="A562"/>
      <c r="B562"/>
      <c r="C562"/>
    </row>
    <row r="563" spans="1:3" x14ac:dyDescent="0.3">
      <c r="A563"/>
      <c r="B563"/>
      <c r="C563"/>
    </row>
    <row r="564" spans="1:3" x14ac:dyDescent="0.3">
      <c r="A564"/>
      <c r="B564"/>
      <c r="C564"/>
    </row>
    <row r="565" spans="1:3" x14ac:dyDescent="0.3">
      <c r="A565"/>
      <c r="B565"/>
      <c r="C565"/>
    </row>
    <row r="566" spans="1:3" x14ac:dyDescent="0.3">
      <c r="A566"/>
      <c r="B566"/>
      <c r="C566"/>
    </row>
    <row r="567" spans="1:3" x14ac:dyDescent="0.3">
      <c r="A567"/>
      <c r="B567"/>
      <c r="C567"/>
    </row>
    <row r="568" spans="1:3" x14ac:dyDescent="0.3">
      <c r="A568"/>
      <c r="B568"/>
      <c r="C568"/>
    </row>
    <row r="569" spans="1:3" x14ac:dyDescent="0.3">
      <c r="A569"/>
      <c r="B569"/>
      <c r="C569"/>
    </row>
    <row r="570" spans="1:3" x14ac:dyDescent="0.3">
      <c r="A570"/>
      <c r="B570"/>
      <c r="C570"/>
    </row>
    <row r="571" spans="1:3" x14ac:dyDescent="0.3">
      <c r="A571"/>
      <c r="B571"/>
      <c r="C571"/>
    </row>
    <row r="572" spans="1:3" x14ac:dyDescent="0.3">
      <c r="A572"/>
      <c r="B572"/>
      <c r="C572"/>
    </row>
    <row r="573" spans="1:3" x14ac:dyDescent="0.3">
      <c r="A573"/>
      <c r="B573"/>
      <c r="C573"/>
    </row>
    <row r="574" spans="1:3" x14ac:dyDescent="0.3">
      <c r="A574"/>
      <c r="B574"/>
      <c r="C574"/>
    </row>
    <row r="575" spans="1:3" x14ac:dyDescent="0.3">
      <c r="A575"/>
      <c r="B575"/>
      <c r="C575"/>
    </row>
    <row r="576" spans="1:3" x14ac:dyDescent="0.3">
      <c r="A576"/>
      <c r="B576"/>
      <c r="C576"/>
    </row>
    <row r="577" spans="1:3" x14ac:dyDescent="0.3">
      <c r="A577"/>
      <c r="B577"/>
      <c r="C577"/>
    </row>
    <row r="578" spans="1:3" x14ac:dyDescent="0.3">
      <c r="A578"/>
      <c r="B578"/>
      <c r="C578"/>
    </row>
    <row r="579" spans="1:3" x14ac:dyDescent="0.3">
      <c r="A579"/>
      <c r="B579"/>
      <c r="C579"/>
    </row>
    <row r="580" spans="1:3" x14ac:dyDescent="0.3">
      <c r="A580"/>
      <c r="B580"/>
      <c r="C580"/>
    </row>
    <row r="581" spans="1:3" x14ac:dyDescent="0.3">
      <c r="A581"/>
      <c r="B581"/>
      <c r="C581"/>
    </row>
    <row r="582" spans="1:3" x14ac:dyDescent="0.3">
      <c r="A582"/>
      <c r="B582"/>
      <c r="C582"/>
    </row>
    <row r="583" spans="1:3" x14ac:dyDescent="0.3">
      <c r="A583"/>
      <c r="B583"/>
      <c r="C583"/>
    </row>
    <row r="584" spans="1:3" x14ac:dyDescent="0.3">
      <c r="A584"/>
      <c r="B584"/>
      <c r="C584"/>
    </row>
    <row r="585" spans="1:3" x14ac:dyDescent="0.3">
      <c r="A585"/>
      <c r="B585"/>
      <c r="C585"/>
    </row>
    <row r="586" spans="1:3" x14ac:dyDescent="0.3">
      <c r="A586"/>
      <c r="B586"/>
      <c r="C586"/>
    </row>
    <row r="587" spans="1:3" x14ac:dyDescent="0.3">
      <c r="A587"/>
      <c r="B587"/>
      <c r="C587"/>
    </row>
    <row r="588" spans="1:3" x14ac:dyDescent="0.3">
      <c r="A588"/>
      <c r="B588"/>
      <c r="C588"/>
    </row>
    <row r="589" spans="1:3" x14ac:dyDescent="0.3">
      <c r="A589"/>
      <c r="B589"/>
      <c r="C589"/>
    </row>
    <row r="590" spans="1:3" x14ac:dyDescent="0.3">
      <c r="A590"/>
      <c r="B590"/>
      <c r="C590"/>
    </row>
    <row r="591" spans="1:3" x14ac:dyDescent="0.3">
      <c r="A591"/>
      <c r="B591"/>
      <c r="C591"/>
    </row>
    <row r="592" spans="1:3" x14ac:dyDescent="0.3">
      <c r="A592"/>
      <c r="B592"/>
      <c r="C592"/>
    </row>
    <row r="593" spans="1:3" x14ac:dyDescent="0.3">
      <c r="A593"/>
      <c r="B593"/>
      <c r="C593"/>
    </row>
    <row r="594" spans="1:3" x14ac:dyDescent="0.3">
      <c r="A594"/>
      <c r="B594"/>
      <c r="C594"/>
    </row>
    <row r="595" spans="1:3" x14ac:dyDescent="0.3">
      <c r="A595"/>
      <c r="B595"/>
      <c r="C595"/>
    </row>
    <row r="596" spans="1:3" x14ac:dyDescent="0.3">
      <c r="A596"/>
      <c r="B596"/>
      <c r="C596"/>
    </row>
    <row r="597" spans="1:3" x14ac:dyDescent="0.3">
      <c r="A597"/>
      <c r="B597"/>
      <c r="C597"/>
    </row>
    <row r="598" spans="1:3" x14ac:dyDescent="0.3">
      <c r="A598"/>
      <c r="B598"/>
      <c r="C598"/>
    </row>
    <row r="599" spans="1:3" x14ac:dyDescent="0.3">
      <c r="A599"/>
      <c r="B599"/>
      <c r="C599"/>
    </row>
    <row r="600" spans="1:3" x14ac:dyDescent="0.3">
      <c r="A600"/>
      <c r="B600"/>
      <c r="C600"/>
    </row>
    <row r="601" spans="1:3" x14ac:dyDescent="0.3">
      <c r="A601"/>
      <c r="B601"/>
      <c r="C601"/>
    </row>
    <row r="602" spans="1:3" x14ac:dyDescent="0.3">
      <c r="A602"/>
      <c r="B602"/>
      <c r="C602"/>
    </row>
    <row r="603" spans="1:3" x14ac:dyDescent="0.3">
      <c r="A603"/>
      <c r="B603"/>
      <c r="C603"/>
    </row>
    <row r="604" spans="1:3" x14ac:dyDescent="0.3">
      <c r="A604"/>
      <c r="B604"/>
      <c r="C604"/>
    </row>
    <row r="605" spans="1:3" x14ac:dyDescent="0.3">
      <c r="A605"/>
      <c r="B605"/>
      <c r="C605"/>
    </row>
    <row r="606" spans="1:3" x14ac:dyDescent="0.3">
      <c r="A606"/>
      <c r="B606"/>
      <c r="C606"/>
    </row>
    <row r="607" spans="1:3" x14ac:dyDescent="0.3">
      <c r="A607"/>
      <c r="B607"/>
      <c r="C607"/>
    </row>
    <row r="608" spans="1:3" x14ac:dyDescent="0.3">
      <c r="A608"/>
      <c r="B608"/>
      <c r="C608"/>
    </row>
    <row r="609" spans="1:3" x14ac:dyDescent="0.3">
      <c r="A609"/>
      <c r="B609"/>
      <c r="C609"/>
    </row>
    <row r="610" spans="1:3" x14ac:dyDescent="0.3">
      <c r="A610"/>
      <c r="B610"/>
      <c r="C610"/>
    </row>
    <row r="611" spans="1:3" x14ac:dyDescent="0.3">
      <c r="A611"/>
      <c r="B611"/>
      <c r="C611"/>
    </row>
    <row r="612" spans="1:3" x14ac:dyDescent="0.3">
      <c r="A612"/>
      <c r="B612"/>
      <c r="C612"/>
    </row>
    <row r="613" spans="1:3" x14ac:dyDescent="0.3">
      <c r="A613"/>
      <c r="B613"/>
      <c r="C613"/>
    </row>
    <row r="614" spans="1:3" x14ac:dyDescent="0.3">
      <c r="A614"/>
      <c r="B614"/>
      <c r="C614"/>
    </row>
    <row r="615" spans="1:3" x14ac:dyDescent="0.3">
      <c r="A615"/>
      <c r="B615"/>
      <c r="C615"/>
    </row>
    <row r="616" spans="1:3" x14ac:dyDescent="0.3">
      <c r="A616"/>
      <c r="B616"/>
      <c r="C616"/>
    </row>
    <row r="617" spans="1:3" x14ac:dyDescent="0.3">
      <c r="A617"/>
      <c r="B617"/>
      <c r="C617"/>
    </row>
    <row r="618" spans="1:3" x14ac:dyDescent="0.3">
      <c r="A618"/>
      <c r="B618"/>
      <c r="C618"/>
    </row>
    <row r="619" spans="1:3" x14ac:dyDescent="0.3">
      <c r="A619"/>
      <c r="B619"/>
      <c r="C619"/>
    </row>
    <row r="620" spans="1:3" x14ac:dyDescent="0.3">
      <c r="A620"/>
      <c r="B620"/>
      <c r="C620"/>
    </row>
    <row r="621" spans="1:3" x14ac:dyDescent="0.3">
      <c r="A621"/>
      <c r="B621"/>
      <c r="C621"/>
    </row>
    <row r="622" spans="1:3" x14ac:dyDescent="0.3">
      <c r="A622"/>
      <c r="B622"/>
      <c r="C622"/>
    </row>
    <row r="623" spans="1:3" x14ac:dyDescent="0.3">
      <c r="A623"/>
      <c r="B623"/>
      <c r="C623"/>
    </row>
    <row r="624" spans="1:3" x14ac:dyDescent="0.3">
      <c r="A624"/>
      <c r="B624"/>
      <c r="C624"/>
    </row>
    <row r="625" spans="1:3" x14ac:dyDescent="0.3">
      <c r="A625"/>
      <c r="B625"/>
      <c r="C625"/>
    </row>
    <row r="626" spans="1:3" x14ac:dyDescent="0.3">
      <c r="A626"/>
      <c r="B626"/>
      <c r="C626"/>
    </row>
    <row r="627" spans="1:3" x14ac:dyDescent="0.3">
      <c r="A627"/>
      <c r="B627"/>
      <c r="C627"/>
    </row>
    <row r="628" spans="1:3" x14ac:dyDescent="0.3">
      <c r="A628"/>
      <c r="B628"/>
      <c r="C628"/>
    </row>
    <row r="629" spans="1:3" x14ac:dyDescent="0.3">
      <c r="A629"/>
      <c r="B629"/>
      <c r="C629"/>
    </row>
    <row r="630" spans="1:3" x14ac:dyDescent="0.3">
      <c r="A630"/>
      <c r="B630"/>
      <c r="C630"/>
    </row>
    <row r="631" spans="1:3" x14ac:dyDescent="0.3">
      <c r="A631"/>
      <c r="B631"/>
      <c r="C631"/>
    </row>
    <row r="632" spans="1:3" x14ac:dyDescent="0.3">
      <c r="A632"/>
      <c r="B632"/>
      <c r="C632"/>
    </row>
    <row r="633" spans="1:3" x14ac:dyDescent="0.3">
      <c r="A633"/>
      <c r="B633"/>
      <c r="C633"/>
    </row>
    <row r="634" spans="1:3" x14ac:dyDescent="0.3">
      <c r="A634"/>
      <c r="B634"/>
      <c r="C634"/>
    </row>
    <row r="635" spans="1:3" x14ac:dyDescent="0.3">
      <c r="A635"/>
      <c r="B635"/>
      <c r="C635"/>
    </row>
    <row r="636" spans="1:3" x14ac:dyDescent="0.3">
      <c r="A636"/>
      <c r="B636"/>
      <c r="C636"/>
    </row>
    <row r="637" spans="1:3" x14ac:dyDescent="0.3">
      <c r="A637"/>
      <c r="B637"/>
      <c r="C637"/>
    </row>
    <row r="638" spans="1:3" x14ac:dyDescent="0.3">
      <c r="A638"/>
      <c r="B638"/>
      <c r="C638"/>
    </row>
    <row r="639" spans="1:3" x14ac:dyDescent="0.3">
      <c r="A639"/>
      <c r="B639"/>
      <c r="C639"/>
    </row>
    <row r="640" spans="1:3" x14ac:dyDescent="0.3">
      <c r="A640"/>
      <c r="B640"/>
      <c r="C640"/>
    </row>
    <row r="641" spans="1:3" x14ac:dyDescent="0.3">
      <c r="A641"/>
      <c r="B641"/>
      <c r="C641"/>
    </row>
    <row r="642" spans="1:3" x14ac:dyDescent="0.3">
      <c r="A642"/>
      <c r="B642"/>
      <c r="C642"/>
    </row>
    <row r="643" spans="1:3" x14ac:dyDescent="0.3">
      <c r="A643"/>
      <c r="B643"/>
      <c r="C643"/>
    </row>
    <row r="644" spans="1:3" x14ac:dyDescent="0.3">
      <c r="A644"/>
      <c r="B644"/>
      <c r="C644"/>
    </row>
    <row r="645" spans="1:3" x14ac:dyDescent="0.3">
      <c r="A645"/>
      <c r="B645"/>
      <c r="C645"/>
    </row>
    <row r="646" spans="1:3" x14ac:dyDescent="0.3">
      <c r="A646"/>
      <c r="B646"/>
      <c r="C646"/>
    </row>
    <row r="647" spans="1:3" x14ac:dyDescent="0.3">
      <c r="A647"/>
      <c r="B647"/>
      <c r="C647"/>
    </row>
    <row r="648" spans="1:3" x14ac:dyDescent="0.3">
      <c r="A648"/>
      <c r="B648"/>
      <c r="C648"/>
    </row>
    <row r="649" spans="1:3" x14ac:dyDescent="0.3">
      <c r="A649"/>
      <c r="B649"/>
      <c r="C649"/>
    </row>
    <row r="650" spans="1:3" x14ac:dyDescent="0.3">
      <c r="A650"/>
      <c r="B650"/>
      <c r="C650"/>
    </row>
    <row r="651" spans="1:3" x14ac:dyDescent="0.3">
      <c r="A651"/>
      <c r="B651"/>
      <c r="C651"/>
    </row>
    <row r="652" spans="1:3" x14ac:dyDescent="0.3">
      <c r="A652"/>
      <c r="B652"/>
      <c r="C652"/>
    </row>
    <row r="653" spans="1:3" x14ac:dyDescent="0.3">
      <c r="A653"/>
      <c r="B653"/>
      <c r="C653"/>
    </row>
    <row r="654" spans="1:3" x14ac:dyDescent="0.3">
      <c r="A654"/>
      <c r="B654"/>
      <c r="C654"/>
    </row>
    <row r="655" spans="1:3" x14ac:dyDescent="0.3">
      <c r="A655"/>
      <c r="B655"/>
      <c r="C655"/>
    </row>
    <row r="656" spans="1:3" x14ac:dyDescent="0.3">
      <c r="A656"/>
      <c r="B656"/>
      <c r="C656"/>
    </row>
    <row r="657" spans="1:3" x14ac:dyDescent="0.3">
      <c r="A657"/>
      <c r="B657"/>
      <c r="C657"/>
    </row>
    <row r="658" spans="1:3" x14ac:dyDescent="0.3">
      <c r="A658"/>
      <c r="B658"/>
      <c r="C658"/>
    </row>
    <row r="659" spans="1:3" x14ac:dyDescent="0.3">
      <c r="A659"/>
      <c r="B659"/>
      <c r="C659"/>
    </row>
    <row r="660" spans="1:3" x14ac:dyDescent="0.3">
      <c r="A660"/>
      <c r="B660"/>
      <c r="C660"/>
    </row>
    <row r="661" spans="1:3" x14ac:dyDescent="0.3">
      <c r="A661"/>
      <c r="B661"/>
      <c r="C661"/>
    </row>
    <row r="662" spans="1:3" x14ac:dyDescent="0.3">
      <c r="A662"/>
      <c r="B662"/>
      <c r="C662"/>
    </row>
    <row r="663" spans="1:3" x14ac:dyDescent="0.3">
      <c r="A663"/>
      <c r="B663"/>
      <c r="C663"/>
    </row>
    <row r="664" spans="1:3" x14ac:dyDescent="0.3">
      <c r="A664"/>
      <c r="B664"/>
      <c r="C664"/>
    </row>
    <row r="665" spans="1:3" x14ac:dyDescent="0.3">
      <c r="A665"/>
      <c r="B665"/>
      <c r="C665"/>
    </row>
    <row r="666" spans="1:3" x14ac:dyDescent="0.3">
      <c r="A666"/>
      <c r="B666"/>
      <c r="C666"/>
    </row>
    <row r="667" spans="1:3" x14ac:dyDescent="0.3">
      <c r="A667"/>
      <c r="B667"/>
      <c r="C667"/>
    </row>
    <row r="668" spans="1:3" x14ac:dyDescent="0.3">
      <c r="A668"/>
      <c r="B668"/>
      <c r="C668"/>
    </row>
    <row r="669" spans="1:3" x14ac:dyDescent="0.3">
      <c r="A669"/>
      <c r="B669"/>
      <c r="C669"/>
    </row>
    <row r="670" spans="1:3" x14ac:dyDescent="0.3">
      <c r="A670"/>
      <c r="B670"/>
      <c r="C670"/>
    </row>
    <row r="671" spans="1:3" x14ac:dyDescent="0.3">
      <c r="A671"/>
      <c r="B671"/>
      <c r="C671"/>
    </row>
    <row r="672" spans="1:3" x14ac:dyDescent="0.3">
      <c r="A672"/>
      <c r="B672"/>
      <c r="C672"/>
    </row>
    <row r="673" spans="1:3" x14ac:dyDescent="0.3">
      <c r="A673"/>
      <c r="B673"/>
      <c r="C673"/>
    </row>
    <row r="674" spans="1:3" x14ac:dyDescent="0.3">
      <c r="A674"/>
      <c r="B674"/>
      <c r="C674"/>
    </row>
    <row r="675" spans="1:3" x14ac:dyDescent="0.3">
      <c r="A675"/>
      <c r="B675"/>
      <c r="C675"/>
    </row>
    <row r="676" spans="1:3" x14ac:dyDescent="0.3">
      <c r="A676"/>
      <c r="B676"/>
      <c r="C676"/>
    </row>
    <row r="677" spans="1:3" x14ac:dyDescent="0.3">
      <c r="A677"/>
      <c r="B677"/>
      <c r="C677"/>
    </row>
    <row r="678" spans="1:3" x14ac:dyDescent="0.3">
      <c r="A678"/>
      <c r="B678"/>
      <c r="C678"/>
    </row>
    <row r="679" spans="1:3" x14ac:dyDescent="0.3">
      <c r="A679"/>
      <c r="B679"/>
      <c r="C679"/>
    </row>
    <row r="680" spans="1:3" x14ac:dyDescent="0.3">
      <c r="A680"/>
      <c r="B680"/>
      <c r="C680"/>
    </row>
    <row r="681" spans="1:3" x14ac:dyDescent="0.3">
      <c r="A681"/>
      <c r="B681"/>
      <c r="C681"/>
    </row>
    <row r="682" spans="1:3" x14ac:dyDescent="0.3">
      <c r="A682"/>
      <c r="B682"/>
      <c r="C682"/>
    </row>
    <row r="683" spans="1:3" x14ac:dyDescent="0.3">
      <c r="A683"/>
      <c r="B683"/>
      <c r="C683"/>
    </row>
    <row r="684" spans="1:3" x14ac:dyDescent="0.3">
      <c r="A684"/>
      <c r="B684"/>
      <c r="C684"/>
    </row>
    <row r="685" spans="1:3" x14ac:dyDescent="0.3">
      <c r="A685"/>
      <c r="B685"/>
      <c r="C685"/>
    </row>
    <row r="686" spans="1:3" x14ac:dyDescent="0.3">
      <c r="A686"/>
      <c r="B686"/>
      <c r="C686"/>
    </row>
    <row r="687" spans="1:3" x14ac:dyDescent="0.3">
      <c r="A687"/>
      <c r="B687"/>
      <c r="C687"/>
    </row>
    <row r="688" spans="1:3" x14ac:dyDescent="0.3">
      <c r="A688"/>
      <c r="B688"/>
      <c r="C688"/>
    </row>
    <row r="689" spans="1:3" x14ac:dyDescent="0.3">
      <c r="A689"/>
      <c r="B689"/>
      <c r="C689"/>
    </row>
    <row r="690" spans="1:3" x14ac:dyDescent="0.3">
      <c r="A690"/>
      <c r="B690"/>
      <c r="C690"/>
    </row>
    <row r="691" spans="1:3" x14ac:dyDescent="0.3">
      <c r="A691"/>
      <c r="B691"/>
      <c r="C691"/>
    </row>
    <row r="692" spans="1:3" x14ac:dyDescent="0.3">
      <c r="A692"/>
      <c r="B692"/>
      <c r="C692"/>
    </row>
    <row r="693" spans="1:3" x14ac:dyDescent="0.3">
      <c r="A693"/>
      <c r="B693"/>
      <c r="C693"/>
    </row>
    <row r="694" spans="1:3" x14ac:dyDescent="0.3">
      <c r="A694"/>
      <c r="B694"/>
      <c r="C694"/>
    </row>
    <row r="695" spans="1:3" x14ac:dyDescent="0.3">
      <c r="A695"/>
      <c r="B695"/>
      <c r="C695"/>
    </row>
    <row r="696" spans="1:3" x14ac:dyDescent="0.3">
      <c r="A696"/>
      <c r="B696"/>
      <c r="C696"/>
    </row>
    <row r="697" spans="1:3" x14ac:dyDescent="0.3">
      <c r="A697"/>
      <c r="B697"/>
      <c r="C697"/>
    </row>
    <row r="698" spans="1:3" x14ac:dyDescent="0.3">
      <c r="A698"/>
      <c r="B698"/>
      <c r="C698"/>
    </row>
    <row r="699" spans="1:3" x14ac:dyDescent="0.3">
      <c r="A699"/>
      <c r="B699"/>
      <c r="C699"/>
    </row>
    <row r="700" spans="1:3" x14ac:dyDescent="0.3">
      <c r="A700"/>
      <c r="B700"/>
      <c r="C700"/>
    </row>
    <row r="701" spans="1:3" x14ac:dyDescent="0.3">
      <c r="A701"/>
      <c r="B701"/>
      <c r="C701"/>
    </row>
    <row r="702" spans="1:3" x14ac:dyDescent="0.3">
      <c r="A702"/>
      <c r="B702"/>
      <c r="C702"/>
    </row>
    <row r="703" spans="1:3" x14ac:dyDescent="0.3">
      <c r="A703"/>
      <c r="B703"/>
      <c r="C703"/>
    </row>
    <row r="704" spans="1:3" x14ac:dyDescent="0.3">
      <c r="A704"/>
      <c r="B704"/>
      <c r="C704"/>
    </row>
    <row r="705" spans="1:3" x14ac:dyDescent="0.3">
      <c r="A705"/>
      <c r="B705"/>
      <c r="C705"/>
    </row>
    <row r="706" spans="1:3" x14ac:dyDescent="0.3">
      <c r="A706"/>
      <c r="B706"/>
      <c r="C706"/>
    </row>
    <row r="707" spans="1:3" x14ac:dyDescent="0.3">
      <c r="A707"/>
      <c r="B707"/>
      <c r="C707"/>
    </row>
    <row r="708" spans="1:3" x14ac:dyDescent="0.3">
      <c r="A708"/>
      <c r="B708"/>
      <c r="C708"/>
    </row>
    <row r="709" spans="1:3" x14ac:dyDescent="0.3">
      <c r="A709"/>
      <c r="B709"/>
      <c r="C709"/>
    </row>
    <row r="710" spans="1:3" x14ac:dyDescent="0.3">
      <c r="A710"/>
      <c r="B710"/>
      <c r="C710"/>
    </row>
    <row r="711" spans="1:3" x14ac:dyDescent="0.3">
      <c r="A711"/>
      <c r="B711"/>
      <c r="C711"/>
    </row>
    <row r="712" spans="1:3" x14ac:dyDescent="0.3">
      <c r="A712"/>
      <c r="B712"/>
      <c r="C712"/>
    </row>
    <row r="713" spans="1:3" x14ac:dyDescent="0.3">
      <c r="A713"/>
      <c r="B713"/>
      <c r="C713"/>
    </row>
    <row r="714" spans="1:3" x14ac:dyDescent="0.3">
      <c r="A714"/>
      <c r="B714"/>
      <c r="C714"/>
    </row>
    <row r="715" spans="1:3" x14ac:dyDescent="0.3">
      <c r="A715"/>
      <c r="B715"/>
      <c r="C715"/>
    </row>
    <row r="716" spans="1:3" x14ac:dyDescent="0.3">
      <c r="A716"/>
      <c r="B716"/>
      <c r="C716"/>
    </row>
    <row r="717" spans="1:3" x14ac:dyDescent="0.3">
      <c r="A717"/>
      <c r="B717"/>
      <c r="C717"/>
    </row>
    <row r="718" spans="1:3" x14ac:dyDescent="0.3">
      <c r="A718"/>
      <c r="B718"/>
      <c r="C718"/>
    </row>
    <row r="719" spans="1:3" x14ac:dyDescent="0.3">
      <c r="A719"/>
      <c r="B719"/>
      <c r="C719"/>
    </row>
    <row r="720" spans="1:3" x14ac:dyDescent="0.3">
      <c r="A720"/>
      <c r="B720"/>
      <c r="C720"/>
    </row>
    <row r="721" spans="1:3" x14ac:dyDescent="0.3">
      <c r="A721"/>
      <c r="B721"/>
      <c r="C721"/>
    </row>
    <row r="722" spans="1:3" x14ac:dyDescent="0.3">
      <c r="A722"/>
      <c r="B722"/>
      <c r="C722"/>
    </row>
    <row r="723" spans="1:3" x14ac:dyDescent="0.3">
      <c r="A723"/>
      <c r="B723"/>
      <c r="C723"/>
    </row>
    <row r="724" spans="1:3" x14ac:dyDescent="0.3">
      <c r="A724"/>
      <c r="B724"/>
      <c r="C724"/>
    </row>
    <row r="725" spans="1:3" x14ac:dyDescent="0.3">
      <c r="A725"/>
      <c r="B725"/>
      <c r="C725"/>
    </row>
    <row r="726" spans="1:3" x14ac:dyDescent="0.3">
      <c r="A726"/>
      <c r="B726"/>
      <c r="C726"/>
    </row>
    <row r="727" spans="1:3" x14ac:dyDescent="0.3">
      <c r="A727"/>
      <c r="B727"/>
      <c r="C727"/>
    </row>
    <row r="728" spans="1:3" x14ac:dyDescent="0.3">
      <c r="A728"/>
      <c r="B728"/>
      <c r="C728"/>
    </row>
    <row r="729" spans="1:3" x14ac:dyDescent="0.3">
      <c r="A729"/>
      <c r="B729"/>
      <c r="C729"/>
    </row>
    <row r="730" spans="1:3" x14ac:dyDescent="0.3">
      <c r="A730"/>
      <c r="B730"/>
      <c r="C730"/>
    </row>
    <row r="731" spans="1:3" x14ac:dyDescent="0.3">
      <c r="A731"/>
      <c r="B731"/>
      <c r="C731"/>
    </row>
    <row r="732" spans="1:3" x14ac:dyDescent="0.3">
      <c r="A732"/>
      <c r="B732"/>
      <c r="C732"/>
    </row>
    <row r="733" spans="1:3" x14ac:dyDescent="0.3">
      <c r="A733"/>
      <c r="B733"/>
      <c r="C733"/>
    </row>
    <row r="734" spans="1:3" x14ac:dyDescent="0.3">
      <c r="A734"/>
      <c r="B734"/>
      <c r="C734"/>
    </row>
    <row r="735" spans="1:3" x14ac:dyDescent="0.3">
      <c r="A735"/>
      <c r="B735"/>
      <c r="C735"/>
    </row>
    <row r="736" spans="1:3" x14ac:dyDescent="0.3">
      <c r="A736"/>
      <c r="B736"/>
      <c r="C736"/>
    </row>
    <row r="737" spans="1:3" x14ac:dyDescent="0.3">
      <c r="A737"/>
      <c r="B737"/>
      <c r="C737"/>
    </row>
    <row r="738" spans="1:3" x14ac:dyDescent="0.3">
      <c r="A738"/>
      <c r="B738"/>
      <c r="C738"/>
    </row>
    <row r="739" spans="1:3" x14ac:dyDescent="0.3">
      <c r="A739"/>
      <c r="B739"/>
      <c r="C739"/>
    </row>
    <row r="740" spans="1:3" x14ac:dyDescent="0.3">
      <c r="A740"/>
      <c r="B740"/>
      <c r="C740"/>
    </row>
    <row r="741" spans="1:3" x14ac:dyDescent="0.3">
      <c r="A741"/>
      <c r="B741"/>
      <c r="C741"/>
    </row>
    <row r="742" spans="1:3" x14ac:dyDescent="0.3">
      <c r="A742"/>
      <c r="B742"/>
      <c r="C742"/>
    </row>
    <row r="743" spans="1:3" x14ac:dyDescent="0.3">
      <c r="A743"/>
      <c r="B743"/>
      <c r="C743"/>
    </row>
    <row r="744" spans="1:3" x14ac:dyDescent="0.3">
      <c r="A744"/>
      <c r="B744"/>
      <c r="C744"/>
    </row>
    <row r="745" spans="1:3" x14ac:dyDescent="0.3">
      <c r="A745"/>
      <c r="B745"/>
      <c r="C745"/>
    </row>
    <row r="746" spans="1:3" x14ac:dyDescent="0.3">
      <c r="A746"/>
      <c r="B746"/>
      <c r="C746"/>
    </row>
    <row r="747" spans="1:3" x14ac:dyDescent="0.3">
      <c r="A747"/>
      <c r="B747"/>
      <c r="C747"/>
    </row>
    <row r="748" spans="1:3" x14ac:dyDescent="0.3">
      <c r="A748"/>
      <c r="B748"/>
      <c r="C748"/>
    </row>
    <row r="749" spans="1:3" x14ac:dyDescent="0.3">
      <c r="A749"/>
      <c r="B749"/>
      <c r="C749"/>
    </row>
    <row r="750" spans="1:3" x14ac:dyDescent="0.3">
      <c r="A750"/>
      <c r="B750"/>
      <c r="C750"/>
    </row>
    <row r="751" spans="1:3" x14ac:dyDescent="0.3">
      <c r="A751"/>
      <c r="B751"/>
      <c r="C751"/>
    </row>
    <row r="752" spans="1:3" x14ac:dyDescent="0.3">
      <c r="A752"/>
      <c r="B752"/>
      <c r="C752"/>
    </row>
    <row r="753" spans="1:3" x14ac:dyDescent="0.3">
      <c r="A753"/>
      <c r="B753"/>
      <c r="C753"/>
    </row>
    <row r="754" spans="1:3" x14ac:dyDescent="0.3">
      <c r="A754"/>
      <c r="B754"/>
      <c r="C754"/>
    </row>
    <row r="755" spans="1:3" x14ac:dyDescent="0.3">
      <c r="A755"/>
      <c r="B755"/>
      <c r="C755"/>
    </row>
    <row r="756" spans="1:3" x14ac:dyDescent="0.3">
      <c r="A756"/>
      <c r="B756"/>
      <c r="C756"/>
    </row>
    <row r="757" spans="1:3" x14ac:dyDescent="0.3">
      <c r="A757"/>
      <c r="B757"/>
      <c r="C757"/>
    </row>
    <row r="758" spans="1:3" x14ac:dyDescent="0.3">
      <c r="A758"/>
      <c r="B758"/>
      <c r="C758"/>
    </row>
    <row r="759" spans="1:3" x14ac:dyDescent="0.3">
      <c r="A759"/>
      <c r="B759"/>
      <c r="C759"/>
    </row>
    <row r="760" spans="1:3" x14ac:dyDescent="0.3">
      <c r="A760"/>
      <c r="B760"/>
      <c r="C760"/>
    </row>
    <row r="761" spans="1:3" x14ac:dyDescent="0.3">
      <c r="A761"/>
      <c r="B761"/>
      <c r="C761"/>
    </row>
    <row r="762" spans="1:3" x14ac:dyDescent="0.3">
      <c r="A762"/>
      <c r="B762"/>
      <c r="C762"/>
    </row>
    <row r="763" spans="1:3" x14ac:dyDescent="0.3">
      <c r="A763"/>
      <c r="B763"/>
      <c r="C763"/>
    </row>
    <row r="764" spans="1:3" x14ac:dyDescent="0.3">
      <c r="A764"/>
      <c r="B764"/>
      <c r="C764"/>
    </row>
    <row r="765" spans="1:3" x14ac:dyDescent="0.3">
      <c r="A765"/>
      <c r="B765"/>
      <c r="C765"/>
    </row>
    <row r="766" spans="1:3" x14ac:dyDescent="0.3">
      <c r="A766"/>
      <c r="B766"/>
      <c r="C766"/>
    </row>
    <row r="767" spans="1:3" x14ac:dyDescent="0.3">
      <c r="A767"/>
      <c r="B767"/>
      <c r="C767"/>
    </row>
    <row r="768" spans="1:3" x14ac:dyDescent="0.3">
      <c r="A768"/>
      <c r="B768"/>
      <c r="C768"/>
    </row>
    <row r="769" spans="1:3" x14ac:dyDescent="0.3">
      <c r="A769"/>
      <c r="B769"/>
      <c r="C769"/>
    </row>
    <row r="770" spans="1:3" x14ac:dyDescent="0.3">
      <c r="A770"/>
      <c r="B770"/>
      <c r="C770"/>
    </row>
    <row r="771" spans="1:3" x14ac:dyDescent="0.3">
      <c r="A771"/>
      <c r="B771"/>
      <c r="C771"/>
    </row>
    <row r="772" spans="1:3" x14ac:dyDescent="0.3">
      <c r="A772"/>
      <c r="B772"/>
      <c r="C772"/>
    </row>
    <row r="773" spans="1:3" x14ac:dyDescent="0.3">
      <c r="A773"/>
      <c r="B773"/>
      <c r="C773"/>
    </row>
    <row r="774" spans="1:3" x14ac:dyDescent="0.3">
      <c r="A774"/>
      <c r="B774"/>
      <c r="C774"/>
    </row>
    <row r="775" spans="1:3" x14ac:dyDescent="0.3">
      <c r="A775"/>
      <c r="B775"/>
      <c r="C775"/>
    </row>
    <row r="776" spans="1:3" x14ac:dyDescent="0.3">
      <c r="A776"/>
      <c r="B776"/>
      <c r="C776"/>
    </row>
    <row r="777" spans="1:3" x14ac:dyDescent="0.3">
      <c r="A777"/>
      <c r="B777"/>
      <c r="C777"/>
    </row>
    <row r="778" spans="1:3" x14ac:dyDescent="0.3">
      <c r="A778"/>
      <c r="B778"/>
      <c r="C778"/>
    </row>
    <row r="779" spans="1:3" x14ac:dyDescent="0.3">
      <c r="A779"/>
      <c r="B779"/>
      <c r="C779"/>
    </row>
    <row r="780" spans="1:3" x14ac:dyDescent="0.3">
      <c r="A780"/>
      <c r="B780"/>
      <c r="C780"/>
    </row>
    <row r="781" spans="1:3" x14ac:dyDescent="0.3">
      <c r="A781"/>
      <c r="B781"/>
      <c r="C781"/>
    </row>
    <row r="782" spans="1:3" x14ac:dyDescent="0.3">
      <c r="A782"/>
      <c r="B782"/>
      <c r="C782"/>
    </row>
    <row r="783" spans="1:3" x14ac:dyDescent="0.3">
      <c r="A783"/>
      <c r="B783"/>
      <c r="C783"/>
    </row>
    <row r="784" spans="1:3" x14ac:dyDescent="0.3">
      <c r="A784"/>
      <c r="B784"/>
      <c r="C784"/>
    </row>
    <row r="785" spans="1:3" x14ac:dyDescent="0.3">
      <c r="A785"/>
      <c r="B785"/>
      <c r="C785"/>
    </row>
    <row r="786" spans="1:3" x14ac:dyDescent="0.3">
      <c r="A786"/>
      <c r="B786"/>
      <c r="C786"/>
    </row>
    <row r="787" spans="1:3" x14ac:dyDescent="0.3">
      <c r="A787"/>
      <c r="B787"/>
      <c r="C787"/>
    </row>
    <row r="788" spans="1:3" x14ac:dyDescent="0.3">
      <c r="A788"/>
      <c r="B788"/>
      <c r="C788"/>
    </row>
    <row r="789" spans="1:3" x14ac:dyDescent="0.3">
      <c r="A789"/>
      <c r="B789"/>
      <c r="C789"/>
    </row>
    <row r="790" spans="1:3" x14ac:dyDescent="0.3">
      <c r="A790"/>
      <c r="B790"/>
      <c r="C790"/>
    </row>
    <row r="791" spans="1:3" x14ac:dyDescent="0.3">
      <c r="A791"/>
      <c r="B791"/>
      <c r="C791"/>
    </row>
    <row r="792" spans="1:3" x14ac:dyDescent="0.3">
      <c r="A792"/>
      <c r="B792"/>
      <c r="C792"/>
    </row>
    <row r="793" spans="1:3" x14ac:dyDescent="0.3">
      <c r="A793"/>
      <c r="B793"/>
      <c r="C793"/>
    </row>
    <row r="794" spans="1:3" x14ac:dyDescent="0.3">
      <c r="A794"/>
      <c r="B794"/>
      <c r="C794"/>
    </row>
    <row r="795" spans="1:3" x14ac:dyDescent="0.3">
      <c r="A795"/>
      <c r="B795"/>
      <c r="C795"/>
    </row>
    <row r="796" spans="1:3" x14ac:dyDescent="0.3">
      <c r="A796"/>
      <c r="B796"/>
      <c r="C796"/>
    </row>
    <row r="797" spans="1:3" x14ac:dyDescent="0.3">
      <c r="A797"/>
      <c r="B797"/>
      <c r="C797"/>
    </row>
    <row r="798" spans="1:3" x14ac:dyDescent="0.3">
      <c r="A798"/>
      <c r="B798"/>
      <c r="C798"/>
    </row>
    <row r="799" spans="1:3" x14ac:dyDescent="0.3">
      <c r="A799"/>
      <c r="B799"/>
      <c r="C799"/>
    </row>
    <row r="800" spans="1:3" x14ac:dyDescent="0.3">
      <c r="A800"/>
      <c r="B800"/>
      <c r="C800"/>
    </row>
    <row r="801" spans="1:3" x14ac:dyDescent="0.3">
      <c r="A801"/>
      <c r="B801"/>
      <c r="C801"/>
    </row>
    <row r="802" spans="1:3" x14ac:dyDescent="0.3">
      <c r="A802"/>
      <c r="B802"/>
      <c r="C802"/>
    </row>
    <row r="803" spans="1:3" x14ac:dyDescent="0.3">
      <c r="A803"/>
      <c r="B803"/>
      <c r="C803"/>
    </row>
    <row r="804" spans="1:3" x14ac:dyDescent="0.3">
      <c r="A804"/>
      <c r="B804"/>
      <c r="C804"/>
    </row>
    <row r="805" spans="1:3" x14ac:dyDescent="0.3">
      <c r="A805"/>
      <c r="B805"/>
      <c r="C805"/>
    </row>
    <row r="806" spans="1:3" x14ac:dyDescent="0.3">
      <c r="A806"/>
      <c r="B806"/>
      <c r="C806"/>
    </row>
    <row r="807" spans="1:3" x14ac:dyDescent="0.3">
      <c r="A807"/>
      <c r="B807"/>
      <c r="C807"/>
    </row>
    <row r="808" spans="1:3" x14ac:dyDescent="0.3">
      <c r="A808"/>
      <c r="B808"/>
      <c r="C808"/>
    </row>
    <row r="809" spans="1:3" x14ac:dyDescent="0.3">
      <c r="A809"/>
      <c r="B809"/>
      <c r="C809"/>
    </row>
    <row r="810" spans="1:3" x14ac:dyDescent="0.3">
      <c r="A810"/>
      <c r="B810"/>
      <c r="C810"/>
    </row>
    <row r="811" spans="1:3" x14ac:dyDescent="0.3">
      <c r="A811"/>
      <c r="B811"/>
      <c r="C811"/>
    </row>
    <row r="812" spans="1:3" x14ac:dyDescent="0.3">
      <c r="A812"/>
      <c r="B812"/>
      <c r="C812"/>
    </row>
    <row r="813" spans="1:3" x14ac:dyDescent="0.3">
      <c r="A813"/>
      <c r="B813"/>
      <c r="C813"/>
    </row>
    <row r="814" spans="1:3" x14ac:dyDescent="0.3">
      <c r="A814"/>
      <c r="B814"/>
      <c r="C814"/>
    </row>
    <row r="815" spans="1:3" x14ac:dyDescent="0.3">
      <c r="A815"/>
      <c r="B815"/>
      <c r="C815"/>
    </row>
    <row r="816" spans="1:3" x14ac:dyDescent="0.3">
      <c r="A816"/>
      <c r="B816"/>
      <c r="C816"/>
    </row>
    <row r="817" spans="1:3" x14ac:dyDescent="0.3">
      <c r="A817"/>
      <c r="B817"/>
      <c r="C817"/>
    </row>
    <row r="818" spans="1:3" x14ac:dyDescent="0.3">
      <c r="A818"/>
      <c r="B818"/>
      <c r="C818"/>
    </row>
    <row r="819" spans="1:3" x14ac:dyDescent="0.3">
      <c r="A819"/>
      <c r="B819"/>
      <c r="C819"/>
    </row>
    <row r="820" spans="1:3" x14ac:dyDescent="0.3">
      <c r="A820"/>
      <c r="B820"/>
      <c r="C820"/>
    </row>
    <row r="821" spans="1:3" x14ac:dyDescent="0.3">
      <c r="A821"/>
      <c r="B821"/>
      <c r="C821"/>
    </row>
    <row r="822" spans="1:3" x14ac:dyDescent="0.3">
      <c r="A822"/>
      <c r="B822"/>
      <c r="C822"/>
    </row>
    <row r="823" spans="1:3" x14ac:dyDescent="0.3">
      <c r="A823"/>
      <c r="B823"/>
      <c r="C823"/>
    </row>
    <row r="824" spans="1:3" x14ac:dyDescent="0.3">
      <c r="A824"/>
      <c r="B824"/>
      <c r="C824"/>
    </row>
    <row r="825" spans="1:3" x14ac:dyDescent="0.3">
      <c r="A825"/>
      <c r="B825"/>
      <c r="C825"/>
    </row>
    <row r="826" spans="1:3" x14ac:dyDescent="0.3">
      <c r="A826"/>
      <c r="B826"/>
      <c r="C826"/>
    </row>
  </sheetData>
  <sheetProtection algorithmName="SHA-512" hashValue="M8uJLcwslEnfA7CS+cth1rAG70CH12Nr7laRs34BgrlDwwpidB40ZCOQFpdf3qsgIxbhh/PVvNuQyopSw94zgw==" saltValue="3rHrMbcgaHMqdF4jjbqx0Q==" spinCount="100000" sheet="1" objects="1" scenarios="1"/>
  <phoneticPr fontId="2" type="noConversion"/>
  <pageMargins left="0.7" right="0.7" top="0.75" bottom="0.75" header="0.3" footer="0.3"/>
  <pageSetup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603563F8-3C35-45E3-9C5D-CBB35342FE00}">
  <ds:schemaRefs/>
</ds:datastoreItem>
</file>

<file path=customXml/itemProps2.xml><?xml version="1.0" encoding="utf-8"?>
<ds:datastoreItem xmlns:ds="http://schemas.openxmlformats.org/officeDocument/2006/customXml" ds:itemID="{1BBD2C6D-6F66-4F78-912A-BCCC90D225BC}">
  <ds:schemaRefs/>
</ds:datastoreItem>
</file>

<file path=customXml/itemProps3.xml><?xml version="1.0" encoding="utf-8"?>
<ds:datastoreItem xmlns:ds="http://schemas.openxmlformats.org/officeDocument/2006/customXml" ds:itemID="{A32B4FDA-E599-4A7B-BE04-C10F0179D2E7}">
  <ds:schemaRefs/>
</ds:datastoreItem>
</file>

<file path=customXml/itemProps4.xml><?xml version="1.0" encoding="utf-8"?>
<ds:datastoreItem xmlns:ds="http://schemas.openxmlformats.org/officeDocument/2006/customXml" ds:itemID="{EEF80A10-7602-4BED-92DE-24325BDAD447}">
  <ds:schemaRefs/>
</ds:datastoreItem>
</file>

<file path=customXml/itemProps5.xml><?xml version="1.0" encoding="utf-8"?>
<ds:datastoreItem xmlns:ds="http://schemas.openxmlformats.org/officeDocument/2006/customXml" ds:itemID="{4E69C812-0ABA-4476-AC80-1C04A66FCF87}">
  <ds:schemaRefs>
    <ds:schemaRef ds:uri="http://schemas.microsoft.com/DataMashup"/>
  </ds:schemaRefs>
</ds:datastoreItem>
</file>

<file path=customXml/itemProps6.xml><?xml version="1.0" encoding="utf-8"?>
<ds:datastoreItem xmlns:ds="http://schemas.openxmlformats.org/officeDocument/2006/customXml" ds:itemID="{5BF07EAF-895A-4C4F-B3D4-DE4F53D69D6D}">
  <ds:schemaRefs>
    <ds:schemaRef ds:uri="http://www.w3.org/2001/XMLSchema"/>
    <ds:schemaRef ds:uri="http://microsoft.data.visualization.Client.Excel.LState/1.0"/>
  </ds:schemaRefs>
</ds:datastoreItem>
</file>

<file path=customXml/itemProps7.xml><?xml version="1.0" encoding="utf-8"?>
<ds:datastoreItem xmlns:ds="http://schemas.openxmlformats.org/officeDocument/2006/customXml" ds:itemID="{B1C3EA3F-9833-45C8-8EB0-DE668CBCE8DE}">
  <ds:schemaRefs>
    <ds:schemaRef ds:uri="http://www.w3.org/2001/XMLSchema"/>
    <ds:schemaRef ds:uri="http://microsoft.data.visualization.engine.tours/1.0"/>
  </ds:schemaRefs>
</ds:datastoreItem>
</file>

<file path=customXml/itemProps8.xml><?xml version="1.0" encoding="utf-8"?>
<ds:datastoreItem xmlns:ds="http://schemas.openxmlformats.org/officeDocument/2006/customXml" ds:itemID="{896644BA-CCA0-4BD6-A49D-D85B6678F7A9}">
  <ds:schemaRefs/>
</ds:datastoreItem>
</file>

<file path=customXml/itemProps9.xml><?xml version="1.0" encoding="utf-8"?>
<ds:datastoreItem xmlns:ds="http://schemas.openxmlformats.org/officeDocument/2006/customXml" ds:itemID="{6C8C6C09-5F72-45DB-855E-B58506ABB300}">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Key Insights</vt:lpstr>
      <vt:lpstr>Pivots</vt:lpstr>
      <vt:lpstr>Input Data</vt:lpstr>
      <vt:lpstr>Target Analysis</vt:lpstr>
      <vt:lpstr>Sheet1</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danykukosama@gmail.com</dc:creator>
  <cp:lastModifiedBy>Dany Kukosama</cp:lastModifiedBy>
  <dcterms:created xsi:type="dcterms:W3CDTF">2021-11-03T11:40:02Z</dcterms:created>
  <dcterms:modified xsi:type="dcterms:W3CDTF">2026-09-25T09:20:24Z</dcterms:modified>
</cp:coreProperties>
</file>